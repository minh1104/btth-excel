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gocm\Downloads\Excel 2\"/>
    </mc:Choice>
  </mc:AlternateContent>
  <xr:revisionPtr revIDLastSave="0" documentId="13_ncr:1_{F1E79C90-A155-4A0F-B259-CF770F382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Sheet1!$A$3:$S$23</definedName>
    <definedName name="_xlnm.Criteria" localSheetId="0">Sheet1!$Q$4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4" i="1"/>
  <c r="N19" i="1" l="1"/>
  <c r="N11" i="1"/>
  <c r="Q13" i="1"/>
  <c r="N12" i="1"/>
  <c r="Q21" i="1"/>
  <c r="Q5" i="1"/>
  <c r="N20" i="1"/>
  <c r="N18" i="1"/>
  <c r="N10" i="1"/>
  <c r="N9" i="1"/>
  <c r="Q22" i="1"/>
  <c r="N17" i="1"/>
  <c r="Q4" i="1"/>
  <c r="Q16" i="1"/>
  <c r="Q8" i="1"/>
  <c r="Q19" i="1"/>
  <c r="Q23" i="1"/>
  <c r="Q15" i="1"/>
  <c r="Q7" i="1"/>
  <c r="Q18" i="1"/>
  <c r="Q14" i="1"/>
  <c r="Q6" i="1"/>
  <c r="Q11" i="1"/>
  <c r="Q10" i="1"/>
  <c r="N15" i="1"/>
  <c r="N7" i="1"/>
  <c r="N4" i="1"/>
  <c r="N16" i="1"/>
  <c r="N8" i="1"/>
  <c r="Q20" i="1"/>
  <c r="Q12" i="1"/>
  <c r="N6" i="1"/>
  <c r="N21" i="1"/>
  <c r="N13" i="1"/>
  <c r="N5" i="1"/>
  <c r="Q17" i="1"/>
  <c r="Q9" i="1"/>
  <c r="N23" i="1"/>
  <c r="N22" i="1"/>
  <c r="N14" i="1"/>
  <c r="D42" i="1" l="1"/>
  <c r="D43" i="1" s="1"/>
  <c r="C42" i="1"/>
  <c r="E42" i="1" l="1"/>
  <c r="C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Ngoc Minh</author>
  </authors>
  <commentList>
    <comment ref="H38" authorId="0" shapeId="0" xr:uid="{DD655760-AAD7-4112-B1BE-A9BD2C53E0FB}">
      <text>
        <r>
          <rPr>
            <b/>
            <sz val="9"/>
            <color indexed="81"/>
            <rFont val="Tahoma"/>
            <family val="2"/>
          </rPr>
          <t>Ngoc Minh:</t>
        </r>
        <r>
          <rPr>
            <sz val="9"/>
            <color indexed="81"/>
            <rFont val="Tahoma"/>
            <family val="2"/>
          </rPr>
          <t xml:space="preserve">
Tạo vùng điều kiện trên bảng (ví dụ ở chỗ trống bên trên):
Chọn lại toàn bộ bảng dữ liệu gốc → Vào Data→Filter → Advanced.
Trong hộp thoại:
List range: vùng bảng dữ liệu (VD: A1:D100)
Criteria range: vùng điều kiện (VD: F1:F2 ở trên)
Chọn Copy to another location
Copy to: nơi bạn muốn danh sách mới hiển thị.</t>
        </r>
      </text>
    </comment>
  </commentList>
</comments>
</file>

<file path=xl/sharedStrings.xml><?xml version="1.0" encoding="utf-8"?>
<sst xmlns="http://schemas.openxmlformats.org/spreadsheetml/2006/main" count="146" uniqueCount="113">
  <si>
    <t>BÀI 11</t>
  </si>
  <si>
    <t>BẢNG THÔNG TIN HỌC SINH</t>
  </si>
  <si>
    <t>SBD</t>
  </si>
  <si>
    <t>Họ đệm</t>
  </si>
  <si>
    <t>Tên</t>
  </si>
  <si>
    <t>GT</t>
  </si>
  <si>
    <t>Năm sinh</t>
  </si>
  <si>
    <t>Nơi sinh</t>
  </si>
  <si>
    <t>Toán</t>
  </si>
  <si>
    <t>Sinh</t>
  </si>
  <si>
    <t>Lý</t>
  </si>
  <si>
    <t>Hóa</t>
  </si>
  <si>
    <t>Tổng điểm</t>
  </si>
  <si>
    <t>Ưu tiên</t>
  </si>
  <si>
    <t>ĐKQ</t>
  </si>
  <si>
    <t>Ngành thi</t>
  </si>
  <si>
    <t>Điểm chuẩn</t>
  </si>
  <si>
    <t>KQ</t>
  </si>
  <si>
    <t>KQ1</t>
  </si>
  <si>
    <t>KQ2</t>
  </si>
  <si>
    <t>A250-1</t>
  </si>
  <si>
    <t>Lâm Đức</t>
  </si>
  <si>
    <t>Trí</t>
  </si>
  <si>
    <t>Huế</t>
  </si>
  <si>
    <t>B356-2</t>
  </si>
  <si>
    <t>Nguyễn Thị</t>
  </si>
  <si>
    <t>Nghĩa</t>
  </si>
  <si>
    <t>x</t>
  </si>
  <si>
    <t>Cao Bằng</t>
  </si>
  <si>
    <t>C452-1</t>
  </si>
  <si>
    <t>Trần Hải</t>
  </si>
  <si>
    <t>Thanh</t>
  </si>
  <si>
    <t>Nghệ An</t>
  </si>
  <si>
    <t>B897-3</t>
  </si>
  <si>
    <t>Nguyễn Ngọc</t>
  </si>
  <si>
    <t>Châu</t>
  </si>
  <si>
    <t>Hà Nội</t>
  </si>
  <si>
    <t>B696-1</t>
  </si>
  <si>
    <t>Phan Thành</t>
  </si>
  <si>
    <t>Long</t>
  </si>
  <si>
    <t>TP. HCM</t>
  </si>
  <si>
    <t>C897-1</t>
  </si>
  <si>
    <t>Võ Trường</t>
  </si>
  <si>
    <t>Hải</t>
  </si>
  <si>
    <t>D456-2</t>
  </si>
  <si>
    <t>Bích</t>
  </si>
  <si>
    <t>Đà Lạt</t>
  </si>
  <si>
    <t>A123-3</t>
  </si>
  <si>
    <t>Thái Minh</t>
  </si>
  <si>
    <t>Phú Thọ</t>
  </si>
  <si>
    <t>C556-2</t>
  </si>
  <si>
    <t>Lê Thu</t>
  </si>
  <si>
    <t>Trang</t>
  </si>
  <si>
    <t>Nha Trang</t>
  </si>
  <si>
    <t>D658-3</t>
  </si>
  <si>
    <t>Trần Chí</t>
  </si>
  <si>
    <t>Đà Nẵng</t>
  </si>
  <si>
    <t>C478-1</t>
  </si>
  <si>
    <t>Nguyễn Bích</t>
  </si>
  <si>
    <t>Thủy</t>
  </si>
  <si>
    <t>B285-2</t>
  </si>
  <si>
    <t>Lê Ngọc</t>
  </si>
  <si>
    <t>Quỳnh</t>
  </si>
  <si>
    <t>Vũng Tàu</t>
  </si>
  <si>
    <t>A396-1</t>
  </si>
  <si>
    <t>Ngô Thanh</t>
  </si>
  <si>
    <t>Tâm</t>
  </si>
  <si>
    <t>B963-2</t>
  </si>
  <si>
    <t>Trần Như</t>
  </si>
  <si>
    <t>D987-3</t>
  </si>
  <si>
    <t>B465-3</t>
  </si>
  <si>
    <t>Trần Văn</t>
  </si>
  <si>
    <t>Linh</t>
  </si>
  <si>
    <t>C324-1</t>
  </si>
  <si>
    <t>Vũ Ngọc</t>
  </si>
  <si>
    <t>Sơn</t>
  </si>
  <si>
    <t>A782-2</t>
  </si>
  <si>
    <t>Phan Thái</t>
  </si>
  <si>
    <t>Trung</t>
  </si>
  <si>
    <t>A659-2</t>
  </si>
  <si>
    <t>Nguyễn Mạnh</t>
  </si>
  <si>
    <t>Dũng</t>
  </si>
  <si>
    <t>A333-1</t>
  </si>
  <si>
    <t>Lân Ngọc</t>
  </si>
  <si>
    <t>Yêu cầu :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</si>
  <si>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Chèn thêm cột Stt trước cột SBD và điền vào cột này theo dạng 01, 02, 03.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</si>
  <si>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Tổng điểm biết các môn không  có hệ số.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</si>
  <si>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Ưu tiên, dựa vào ký tự đầu bên phải của SBD</t>
    </r>
  </si>
  <si>
    <t>Nếu là 1, Ưu tiên là 2đ, nếu là 2 , Ưu tiên là 1.5đ, các trường hợp còn lại Ưu tiên là 1đ</t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</si>
  <si>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ĐKQ, biết ĐKQ = Tổng cộng + Ưu tiên.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</si>
  <si>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Ngành thi, dựa vào ký tự đầu bên trái của SBD</t>
    </r>
  </si>
  <si>
    <t>Nếu là A ngành thi là Toán, nếu là B ngành thi là Lý, nếu là C ngành thi là Hóa, là D ngành thi là Sinh.</t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</si>
  <si>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Điểm chuẩn, biết ngành toán là 29, lý là 28, hóa là 26, sinh là 24.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</si>
  <si>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Kết Quả nếu Tổng cộng &gt;= Điểm chuẩn thì kết quả là "Đạt" ngược lại để trống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</si>
  <si>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KQ1, nếu điểm Toán &gt;=9 và một trong hai môn Hóa hoặc Lý từ 8 trở lên, thì đánh dấu X.</t>
    </r>
  </si>
  <si>
    <r>
      <t>9.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Lập công thức cho cột KQ2, nếu điểm Toán &gt;=9 và một trong hai môn Hóa hoặc Sinh từ 8 trở lên thì đánh dấu X.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</si>
  <si>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Sắp xếp danh sách tăng dần theo Tên , nếu trùng tên thì sắp xếp giảm dần theo Tổng cộng</t>
    </r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</si>
  <si>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Trang trí bảng tính và định dạng các ô chứa trị dạng số theo đúng mẫu trên.</t>
    </r>
  </si>
  <si>
    <r>
      <t>12.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Tạo một danh sách mới gồm các học sinh có kết quả đạt.</t>
    </r>
  </si>
  <si>
    <r>
      <t>13.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Lập bảng thống kê và vẽ biểu đồ thể hiện tỷ lệ học sinh ĐẠT và KHÔNG đạt.</t>
    </r>
  </si>
  <si>
    <t>KẾT QUẢ</t>
  </si>
  <si>
    <t>ĐẠT</t>
  </si>
  <si>
    <t xml:space="preserve">KHÔNG </t>
  </si>
  <si>
    <t xml:space="preserve">TỔNG </t>
  </si>
  <si>
    <t>CỘNG</t>
  </si>
  <si>
    <t xml:space="preserve">TỔNG SỐ HỌC </t>
  </si>
  <si>
    <t>TỶ LỆ (%)</t>
  </si>
  <si>
    <t>STT</t>
  </si>
  <si>
    <t>A</t>
  </si>
  <si>
    <t>B</t>
  </si>
  <si>
    <t>C</t>
  </si>
  <si>
    <t>D</t>
  </si>
  <si>
    <t>Cách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</si>
</sst>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FF0000"/>
      <name val="Times New Roman"/>
      <family val="1"/>
    </font>
    <font>
      <sz val="7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5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justify" vertical="center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6"/>
    </xf>
    <xf numFmtId="0" fontId="4" fillId="0" borderId="5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3" fillId="0" borderId="0" xfId="0" applyFont="1" applyAlignment="1">
      <alignment vertical="center"/>
    </xf>
    <xf numFmtId="0" fontId="0" fillId="0" borderId="6" xfId="0" applyBorder="1"/>
    <xf numFmtId="0" fontId="3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center" wrapText="1"/>
    </xf>
    <xf numFmtId="169" fontId="0" fillId="3" borderId="6" xfId="0" applyNumberFormat="1" applyFill="1" applyBorder="1"/>
    <xf numFmtId="0" fontId="3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9" fontId="3" fillId="0" borderId="3" xfId="1" applyFont="1" applyBorder="1" applyAlignment="1">
      <alignment vertical="center" wrapText="1"/>
    </xf>
    <xf numFmtId="0" fontId="0" fillId="0" borderId="0" xfId="0" applyFont="1"/>
    <xf numFmtId="9" fontId="3" fillId="0" borderId="3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zoomScale="85" zoomScaleNormal="85" workbookViewId="0">
      <selection activeCell="E44" sqref="E44"/>
    </sheetView>
  </sheetViews>
  <sheetFormatPr defaultRowHeight="14.4" x14ac:dyDescent="0.3"/>
  <cols>
    <col min="1" max="1" width="9" customWidth="1"/>
    <col min="2" max="2" width="10" customWidth="1"/>
    <col min="3" max="3" width="19.44140625" customWidth="1"/>
    <col min="12" max="12" width="11.6640625" customWidth="1"/>
  </cols>
  <sheetData>
    <row r="1" spans="1:19" ht="16.8" x14ac:dyDescent="0.3">
      <c r="B1" s="1" t="s">
        <v>0</v>
      </c>
    </row>
    <row r="2" spans="1:19" ht="21" thickBot="1" x14ac:dyDescent="0.35">
      <c r="B2" s="2" t="s">
        <v>1</v>
      </c>
    </row>
    <row r="3" spans="1:19" ht="28.2" customHeight="1" thickBot="1" x14ac:dyDescent="0.35">
      <c r="A3" s="22" t="s">
        <v>107</v>
      </c>
      <c r="B3" s="23" t="s">
        <v>2</v>
      </c>
      <c r="C3" s="24" t="s">
        <v>3</v>
      </c>
      <c r="D3" s="23" t="s">
        <v>4</v>
      </c>
      <c r="E3" s="25" t="s">
        <v>5</v>
      </c>
      <c r="F3" s="24" t="s">
        <v>6</v>
      </c>
      <c r="G3" s="24" t="s">
        <v>7</v>
      </c>
      <c r="H3" s="23" t="s">
        <v>8</v>
      </c>
      <c r="I3" s="24" t="s">
        <v>9</v>
      </c>
      <c r="J3" s="24" t="s">
        <v>10</v>
      </c>
      <c r="K3" s="23" t="s">
        <v>11</v>
      </c>
      <c r="L3" s="24" t="s">
        <v>12</v>
      </c>
      <c r="M3" s="25" t="s">
        <v>13</v>
      </c>
      <c r="N3" s="23" t="s">
        <v>14</v>
      </c>
      <c r="O3" s="24" t="s">
        <v>15</v>
      </c>
      <c r="P3" s="24" t="s">
        <v>16</v>
      </c>
      <c r="Q3" s="23" t="s">
        <v>17</v>
      </c>
      <c r="R3" s="23" t="s">
        <v>18</v>
      </c>
      <c r="S3" s="23" t="s">
        <v>19</v>
      </c>
    </row>
    <row r="4" spans="1:19" ht="21" customHeight="1" thickBot="1" x14ac:dyDescent="0.35">
      <c r="A4" s="26">
        <v>1</v>
      </c>
      <c r="B4" s="5" t="s">
        <v>20</v>
      </c>
      <c r="C4" s="3" t="s">
        <v>21</v>
      </c>
      <c r="D4" s="3" t="s">
        <v>22</v>
      </c>
      <c r="E4" s="3"/>
      <c r="F4" s="4">
        <v>2000</v>
      </c>
      <c r="G4" s="3" t="s">
        <v>23</v>
      </c>
      <c r="H4" s="4">
        <v>9</v>
      </c>
      <c r="I4" s="4">
        <v>9</v>
      </c>
      <c r="J4" s="4">
        <v>9</v>
      </c>
      <c r="K4" s="4">
        <v>8</v>
      </c>
      <c r="L4" s="27">
        <f>SUM(H4:K4)</f>
        <v>35</v>
      </c>
      <c r="M4" s="3">
        <f>IF(RIGHT(B4)="1",2,IF(RIGHT(B4)="2",1.5,1))</f>
        <v>2</v>
      </c>
      <c r="N4" s="3">
        <f>SUM(L4:M4)</f>
        <v>37</v>
      </c>
      <c r="O4" s="3" t="str">
        <f>HLOOKUP(LEFT(B4,1),$M$25:$P$26,2,FALSE)</f>
        <v>Toán</v>
      </c>
      <c r="P4" s="3">
        <f>HLOOKUP(LEFT(B4,1),$M$25:$P$27,3,FALSE)</f>
        <v>29</v>
      </c>
      <c r="Q4" s="28" t="str">
        <f>IF(L4&gt;=P4, "Đạt", " ")</f>
        <v>Đạt</v>
      </c>
      <c r="R4" s="29" t="str">
        <f>IF(AND(H4&gt;=9,MAX(J4:K4)&gt;8), "X", " ")</f>
        <v>X</v>
      </c>
      <c r="S4" s="29" t="str">
        <f>IF(AND(H4&gt;=9,MAX(K4,I4)&gt;8), "X", " ")</f>
        <v>X</v>
      </c>
    </row>
    <row r="5" spans="1:19" ht="31.8" thickBot="1" x14ac:dyDescent="0.35">
      <c r="A5" s="26">
        <v>2</v>
      </c>
      <c r="B5" s="5" t="s">
        <v>24</v>
      </c>
      <c r="C5" s="3" t="s">
        <v>25</v>
      </c>
      <c r="D5" s="5" t="s">
        <v>26</v>
      </c>
      <c r="E5" s="3" t="s">
        <v>27</v>
      </c>
      <c r="F5" s="4">
        <v>2000</v>
      </c>
      <c r="G5" s="3" t="s">
        <v>28</v>
      </c>
      <c r="H5" s="4">
        <v>9</v>
      </c>
      <c r="I5" s="4">
        <v>8</v>
      </c>
      <c r="J5" s="4">
        <v>9</v>
      </c>
      <c r="K5" s="4">
        <v>10</v>
      </c>
      <c r="L5" s="27">
        <f>SUM(H5:K5)</f>
        <v>36</v>
      </c>
      <c r="M5" s="3">
        <f>IF(RIGHT(B5)="1",2,IF(RIGHT(B5)="2",1.5,1))</f>
        <v>1.5</v>
      </c>
      <c r="N5" s="3">
        <f>SUM(L5:M5)</f>
        <v>37.5</v>
      </c>
      <c r="O5" s="3" t="str">
        <f>HLOOKUP(LEFT(B5,1),$M$25:$P$26,2,FALSE)</f>
        <v>Lý</v>
      </c>
      <c r="P5" s="3">
        <f>HLOOKUP(LEFT(B5,1),$M$25:$P$27,3,FALSE)</f>
        <v>28</v>
      </c>
      <c r="Q5" s="28" t="str">
        <f>IF(L5&gt;=P5, "Đạt", " ")</f>
        <v>Đạt</v>
      </c>
      <c r="R5" s="29" t="str">
        <f>IF(AND(H5&gt;=9,MAX(J5:K5)&gt;8), "X", " ")</f>
        <v>X</v>
      </c>
      <c r="S5" s="29" t="str">
        <f>IF(AND(H5&gt;=9,MAX(K5,I5)&gt;8), "X", " ")</f>
        <v>X</v>
      </c>
    </row>
    <row r="6" spans="1:19" ht="16.2" thickBot="1" x14ac:dyDescent="0.35">
      <c r="A6" s="26">
        <v>3</v>
      </c>
      <c r="B6" s="5" t="s">
        <v>29</v>
      </c>
      <c r="C6" s="3" t="s">
        <v>30</v>
      </c>
      <c r="D6" s="5" t="s">
        <v>31</v>
      </c>
      <c r="E6" s="3"/>
      <c r="F6" s="4">
        <v>2001</v>
      </c>
      <c r="G6" s="3" t="s">
        <v>32</v>
      </c>
      <c r="H6" s="4">
        <v>9</v>
      </c>
      <c r="I6" s="4">
        <v>9</v>
      </c>
      <c r="J6" s="4">
        <v>9</v>
      </c>
      <c r="K6" s="4">
        <v>9</v>
      </c>
      <c r="L6" s="27">
        <f>SUM(H6:K6)</f>
        <v>36</v>
      </c>
      <c r="M6" s="3">
        <f>IF(RIGHT(B6)="1",2,IF(RIGHT(B6)="2",1.5,1))</f>
        <v>2</v>
      </c>
      <c r="N6" s="3">
        <f>SUM(L6:M6)</f>
        <v>38</v>
      </c>
      <c r="O6" s="3" t="str">
        <f>HLOOKUP(LEFT(B6,1),$M$25:$P$26,2,FALSE)</f>
        <v>Hóa</v>
      </c>
      <c r="P6" s="3">
        <f>HLOOKUP(LEFT(B6,1),$M$25:$P$27,3,FALSE)</f>
        <v>26</v>
      </c>
      <c r="Q6" s="28" t="str">
        <f>IF(L6&gt;=P6, "Đạt", " ")</f>
        <v>Đạt</v>
      </c>
      <c r="R6" s="29" t="str">
        <f>IF(AND(H6&gt;=9,MAX(J6:K6)&gt;8), "X", " ")</f>
        <v>X</v>
      </c>
      <c r="S6" s="29" t="str">
        <f>IF(AND(H6&gt;=9,MAX(K6,I6)&gt;8), "X", " ")</f>
        <v>X</v>
      </c>
    </row>
    <row r="7" spans="1:19" ht="16.2" thickBot="1" x14ac:dyDescent="0.35">
      <c r="A7" s="26">
        <v>4</v>
      </c>
      <c r="B7" s="5" t="s">
        <v>33</v>
      </c>
      <c r="C7" s="5" t="s">
        <v>34</v>
      </c>
      <c r="D7" s="3" t="s">
        <v>35</v>
      </c>
      <c r="E7" s="3" t="s">
        <v>27</v>
      </c>
      <c r="F7" s="4">
        <v>2000</v>
      </c>
      <c r="G7" s="3" t="s">
        <v>36</v>
      </c>
      <c r="H7" s="4">
        <v>9</v>
      </c>
      <c r="I7" s="4">
        <v>9</v>
      </c>
      <c r="J7" s="4">
        <v>9</v>
      </c>
      <c r="K7" s="4">
        <v>9</v>
      </c>
      <c r="L7" s="27">
        <f>SUM(H7:K7)</f>
        <v>36</v>
      </c>
      <c r="M7" s="3">
        <f>IF(RIGHT(B7)="1",2,IF(RIGHT(B7)="2",1.5,1))</f>
        <v>1</v>
      </c>
      <c r="N7" s="3">
        <f>SUM(L7:M7)</f>
        <v>37</v>
      </c>
      <c r="O7" s="3" t="str">
        <f>HLOOKUP(LEFT(B7,1),$M$25:$P$26,2,FALSE)</f>
        <v>Lý</v>
      </c>
      <c r="P7" s="3">
        <f>HLOOKUP(LEFT(B7,1),$M$25:$P$27,3,FALSE)</f>
        <v>28</v>
      </c>
      <c r="Q7" s="28" t="str">
        <f>IF(L7&gt;=P7, "Đạt", " ")</f>
        <v>Đạt</v>
      </c>
      <c r="R7" s="29" t="str">
        <f>IF(AND(H7&gt;=9,MAX(J7:K7)&gt;8), "X", " ")</f>
        <v>X</v>
      </c>
      <c r="S7" s="29" t="str">
        <f>IF(AND(H7&gt;=9,MAX(K7,I7)&gt;8), "X", " ")</f>
        <v>X</v>
      </c>
    </row>
    <row r="8" spans="1:19" ht="31.8" thickBot="1" x14ac:dyDescent="0.35">
      <c r="A8" s="26">
        <v>5</v>
      </c>
      <c r="B8" s="5" t="s">
        <v>37</v>
      </c>
      <c r="C8" s="3" t="s">
        <v>38</v>
      </c>
      <c r="D8" s="3" t="s">
        <v>39</v>
      </c>
      <c r="E8" s="3"/>
      <c r="F8" s="4">
        <v>2000</v>
      </c>
      <c r="G8" s="3" t="s">
        <v>40</v>
      </c>
      <c r="H8" s="4">
        <v>9</v>
      </c>
      <c r="I8" s="4">
        <v>8</v>
      </c>
      <c r="J8" s="4">
        <v>9.6</v>
      </c>
      <c r="K8" s="4">
        <v>9</v>
      </c>
      <c r="L8" s="27">
        <f>SUM(H8:K8)</f>
        <v>35.6</v>
      </c>
      <c r="M8" s="3">
        <f>IF(RIGHT(B8)="1",2,IF(RIGHT(B8)="2",1.5,1))</f>
        <v>2</v>
      </c>
      <c r="N8" s="3">
        <f>SUM(L8:M8)</f>
        <v>37.6</v>
      </c>
      <c r="O8" s="3" t="str">
        <f>HLOOKUP(LEFT(B8,1),$M$25:$P$26,2,FALSE)</f>
        <v>Lý</v>
      </c>
      <c r="P8" s="3">
        <f>HLOOKUP(LEFT(B8,1),$M$25:$P$27,3,FALSE)</f>
        <v>28</v>
      </c>
      <c r="Q8" s="28" t="str">
        <f>IF(L8&gt;=P8, "Đạt", " ")</f>
        <v>Đạt</v>
      </c>
      <c r="R8" s="29" t="str">
        <f>IF(AND(H8&gt;=9,MAX(J8:K8)&gt;8), "X", " ")</f>
        <v>X</v>
      </c>
      <c r="S8" s="29" t="str">
        <f>IF(AND(H8&gt;=9,MAX(K8,I8)&gt;8), "X", " ")</f>
        <v>X</v>
      </c>
    </row>
    <row r="9" spans="1:19" ht="16.2" thickBot="1" x14ac:dyDescent="0.35">
      <c r="A9" s="26">
        <v>6</v>
      </c>
      <c r="B9" s="5" t="s">
        <v>41</v>
      </c>
      <c r="C9" s="3" t="s">
        <v>42</v>
      </c>
      <c r="D9" s="3" t="s">
        <v>43</v>
      </c>
      <c r="E9" s="3"/>
      <c r="F9" s="4">
        <v>2000</v>
      </c>
      <c r="G9" s="3" t="s">
        <v>23</v>
      </c>
      <c r="H9" s="4">
        <v>8</v>
      </c>
      <c r="I9" s="4">
        <v>9</v>
      </c>
      <c r="J9" s="4">
        <v>9</v>
      </c>
      <c r="K9" s="4">
        <v>9</v>
      </c>
      <c r="L9" s="27">
        <f>SUM(H9:K9)</f>
        <v>35</v>
      </c>
      <c r="M9" s="3">
        <f>IF(RIGHT(B9)="1",2,IF(RIGHT(B9)="2",1.5,1))</f>
        <v>2</v>
      </c>
      <c r="N9" s="3">
        <f>SUM(L9:M9)</f>
        <v>37</v>
      </c>
      <c r="O9" s="3" t="str">
        <f>HLOOKUP(LEFT(B9,1),$M$25:$P$26,2,FALSE)</f>
        <v>Hóa</v>
      </c>
      <c r="P9" s="3">
        <f>HLOOKUP(LEFT(B9,1),$M$25:$P$27,3,FALSE)</f>
        <v>26</v>
      </c>
      <c r="Q9" s="28" t="str">
        <f>IF(L9&gt;=P9, "Đạt", " ")</f>
        <v>Đạt</v>
      </c>
      <c r="R9" s="29" t="str">
        <f>IF(AND(H9&gt;=9,MAX(J9:K9)&gt;8), "X", " ")</f>
        <v xml:space="preserve"> </v>
      </c>
      <c r="S9" s="29" t="str">
        <f>IF(AND(H9&gt;=9,MAX(K9,I9)&gt;8), "X", " ")</f>
        <v xml:space="preserve"> </v>
      </c>
    </row>
    <row r="10" spans="1:19" ht="25.8" customHeight="1" thickBot="1" x14ac:dyDescent="0.35">
      <c r="A10" s="26">
        <v>7</v>
      </c>
      <c r="B10" s="5" t="s">
        <v>44</v>
      </c>
      <c r="C10" s="5" t="s">
        <v>34</v>
      </c>
      <c r="D10" s="3" t="s">
        <v>45</v>
      </c>
      <c r="E10" s="3" t="s">
        <v>27</v>
      </c>
      <c r="F10" s="4">
        <v>2001</v>
      </c>
      <c r="G10" s="3" t="s">
        <v>46</v>
      </c>
      <c r="H10" s="4">
        <v>9</v>
      </c>
      <c r="I10" s="4">
        <v>10</v>
      </c>
      <c r="J10" s="4">
        <v>9.6</v>
      </c>
      <c r="K10" s="4">
        <v>9</v>
      </c>
      <c r="L10" s="27">
        <f>SUM(H10:K10)</f>
        <v>37.6</v>
      </c>
      <c r="M10" s="3">
        <f>IF(RIGHT(B10)="1",2,IF(RIGHT(B10)="2",1.5,1))</f>
        <v>1.5</v>
      </c>
      <c r="N10" s="3">
        <f>SUM(L10:M10)</f>
        <v>39.1</v>
      </c>
      <c r="O10" s="3" t="str">
        <f>HLOOKUP(LEFT(B10,1),$M$25:$P$26,2,FALSE)</f>
        <v>Sinh</v>
      </c>
      <c r="P10" s="3">
        <f>HLOOKUP(LEFT(B10,1),$M$25:$P$27,3,FALSE)</f>
        <v>24</v>
      </c>
      <c r="Q10" s="28" t="str">
        <f>IF(L10&gt;=P10, "Đạt", " ")</f>
        <v>Đạt</v>
      </c>
      <c r="R10" s="29" t="str">
        <f>IF(AND(H10&gt;=9,MAX(J10:K10)&gt;8), "X", " ")</f>
        <v>X</v>
      </c>
      <c r="S10" s="29" t="str">
        <f>IF(AND(H10&gt;=9,MAX(K10,I10)&gt;8), "X", " ")</f>
        <v>X</v>
      </c>
    </row>
    <row r="11" spans="1:19" ht="16.2" thickBot="1" x14ac:dyDescent="0.35">
      <c r="A11" s="26">
        <v>8</v>
      </c>
      <c r="B11" s="5" t="s">
        <v>47</v>
      </c>
      <c r="C11" s="3" t="s">
        <v>48</v>
      </c>
      <c r="D11" s="3" t="s">
        <v>22</v>
      </c>
      <c r="E11" s="3"/>
      <c r="F11" s="4">
        <v>2000</v>
      </c>
      <c r="G11" s="3" t="s">
        <v>49</v>
      </c>
      <c r="H11" s="4">
        <v>10</v>
      </c>
      <c r="I11" s="4">
        <v>9</v>
      </c>
      <c r="J11" s="4">
        <v>7</v>
      </c>
      <c r="K11" s="4">
        <v>9</v>
      </c>
      <c r="L11" s="27">
        <f>SUM(H11:K11)</f>
        <v>35</v>
      </c>
      <c r="M11" s="3">
        <f>IF(RIGHT(B11)="1",2,IF(RIGHT(B11)="2",1.5,1))</f>
        <v>1</v>
      </c>
      <c r="N11" s="3">
        <f>SUM(L11:M11)</f>
        <v>36</v>
      </c>
      <c r="O11" s="3" t="str">
        <f>HLOOKUP(LEFT(B11,1),$M$25:$P$26,2,FALSE)</f>
        <v>Toán</v>
      </c>
      <c r="P11" s="3">
        <f>HLOOKUP(LEFT(B11,1),$M$25:$P$27,3,FALSE)</f>
        <v>29</v>
      </c>
      <c r="Q11" s="28" t="str">
        <f>IF(L11&gt;=P11, "Đạt", " ")</f>
        <v>Đạt</v>
      </c>
      <c r="R11" s="29" t="str">
        <f>IF(AND(H11&gt;=9,MAX(J11:K11)&gt;8), "X", " ")</f>
        <v>X</v>
      </c>
      <c r="S11" s="29" t="str">
        <f>IF(AND(H11&gt;=9,MAX(K11,I11)&gt;8), "X", " ")</f>
        <v>X</v>
      </c>
    </row>
    <row r="12" spans="1:19" ht="31.8" thickBot="1" x14ac:dyDescent="0.35">
      <c r="A12" s="26">
        <v>9</v>
      </c>
      <c r="B12" s="5" t="s">
        <v>50</v>
      </c>
      <c r="C12" s="3" t="s">
        <v>51</v>
      </c>
      <c r="D12" s="5" t="s">
        <v>52</v>
      </c>
      <c r="E12" s="3" t="s">
        <v>27</v>
      </c>
      <c r="F12" s="4">
        <v>2000</v>
      </c>
      <c r="G12" s="5" t="s">
        <v>53</v>
      </c>
      <c r="H12" s="4">
        <v>8</v>
      </c>
      <c r="I12" s="4">
        <v>9</v>
      </c>
      <c r="J12" s="4">
        <v>10</v>
      </c>
      <c r="K12" s="4">
        <v>6</v>
      </c>
      <c r="L12" s="27">
        <f>SUM(H12:K12)</f>
        <v>33</v>
      </c>
      <c r="M12" s="3">
        <f>IF(RIGHT(B12)="1",2,IF(RIGHT(B12)="2",1.5,1))</f>
        <v>1.5</v>
      </c>
      <c r="N12" s="3">
        <f>SUM(L12:M12)</f>
        <v>34.5</v>
      </c>
      <c r="O12" s="3" t="str">
        <f>HLOOKUP(LEFT(B12,1),$M$25:$P$26,2,FALSE)</f>
        <v>Hóa</v>
      </c>
      <c r="P12" s="3">
        <f>HLOOKUP(LEFT(B12,1),$M$25:$P$27,3,FALSE)</f>
        <v>26</v>
      </c>
      <c r="Q12" s="28" t="str">
        <f>IF(L12&gt;=P12, "Đạt", " ")</f>
        <v>Đạt</v>
      </c>
      <c r="R12" s="29" t="str">
        <f>IF(AND(H12&gt;=9,MAX(J12:K12)&gt;8), "X", " ")</f>
        <v xml:space="preserve"> </v>
      </c>
      <c r="S12" s="29" t="str">
        <f>IF(AND(H12&gt;=9,MAX(K12,I12)&gt;8), "X", " ")</f>
        <v xml:space="preserve"> </v>
      </c>
    </row>
    <row r="13" spans="1:19" ht="16.2" thickBot="1" x14ac:dyDescent="0.35">
      <c r="A13" s="26">
        <v>10</v>
      </c>
      <c r="B13" s="5" t="s">
        <v>54</v>
      </c>
      <c r="C13" s="3" t="s">
        <v>55</v>
      </c>
      <c r="D13" s="3" t="s">
        <v>43</v>
      </c>
      <c r="E13" s="3"/>
      <c r="F13" s="4">
        <v>2001</v>
      </c>
      <c r="G13" s="3" t="s">
        <v>56</v>
      </c>
      <c r="H13" s="4">
        <v>8</v>
      </c>
      <c r="I13" s="4">
        <v>8</v>
      </c>
      <c r="J13" s="4">
        <v>9</v>
      </c>
      <c r="K13" s="4">
        <v>6</v>
      </c>
      <c r="L13" s="27">
        <f>SUM(H13:K13)</f>
        <v>31</v>
      </c>
      <c r="M13" s="3">
        <f>IF(RIGHT(B13)="1",2,IF(RIGHT(B13)="2",1.5,1))</f>
        <v>1</v>
      </c>
      <c r="N13" s="3">
        <f>SUM(L13:M13)</f>
        <v>32</v>
      </c>
      <c r="O13" s="3" t="str">
        <f>HLOOKUP(LEFT(B13,1),$M$25:$P$26,2,FALSE)</f>
        <v>Sinh</v>
      </c>
      <c r="P13" s="3">
        <f>HLOOKUP(LEFT(B13,1),$M$25:$P$27,3,FALSE)</f>
        <v>24</v>
      </c>
      <c r="Q13" s="28" t="str">
        <f>IF(L13&gt;=P13, "Đạt", " ")</f>
        <v>Đạt</v>
      </c>
      <c r="R13" s="29" t="str">
        <f>IF(AND(H13&gt;=9,MAX(J13:K13)&gt;8), "X", " ")</f>
        <v xml:space="preserve"> </v>
      </c>
      <c r="S13" s="29" t="str">
        <f>IF(AND(H13&gt;=9,MAX(K13,I13)&gt;8), "X", " ")</f>
        <v xml:space="preserve"> </v>
      </c>
    </row>
    <row r="14" spans="1:19" ht="31.8" thickBot="1" x14ac:dyDescent="0.35">
      <c r="A14" s="26">
        <v>11</v>
      </c>
      <c r="B14" s="5" t="s">
        <v>57</v>
      </c>
      <c r="C14" s="5" t="s">
        <v>58</v>
      </c>
      <c r="D14" s="3" t="s">
        <v>59</v>
      </c>
      <c r="E14" s="3" t="s">
        <v>27</v>
      </c>
      <c r="F14" s="4">
        <v>2000</v>
      </c>
      <c r="G14" s="3" t="s">
        <v>40</v>
      </c>
      <c r="H14" s="4">
        <v>9.6</v>
      </c>
      <c r="I14" s="4">
        <v>9</v>
      </c>
      <c r="J14" s="4">
        <v>8</v>
      </c>
      <c r="K14" s="4">
        <v>8</v>
      </c>
      <c r="L14" s="27">
        <f>SUM(H14:K14)</f>
        <v>34.6</v>
      </c>
      <c r="M14" s="3">
        <f>IF(RIGHT(B14)="1",2,IF(RIGHT(B14)="2",1.5,1))</f>
        <v>2</v>
      </c>
      <c r="N14" s="3">
        <f>SUM(L14:M14)</f>
        <v>36.6</v>
      </c>
      <c r="O14" s="3" t="str">
        <f>HLOOKUP(LEFT(B14,1),$M$25:$P$26,2,FALSE)</f>
        <v>Hóa</v>
      </c>
      <c r="P14" s="3">
        <f>HLOOKUP(LEFT(B14,1),$M$25:$P$27,3,FALSE)</f>
        <v>26</v>
      </c>
      <c r="Q14" s="28" t="str">
        <f>IF(L14&gt;=P14, "Đạt", " ")</f>
        <v>Đạt</v>
      </c>
      <c r="R14" s="29" t="str">
        <f>IF(AND(H14&gt;=9,MAX(J14:K14)&gt;8), "X", " ")</f>
        <v xml:space="preserve"> </v>
      </c>
      <c r="S14" s="29" t="str">
        <f>IF(AND(H14&gt;=9,MAX(K14,I14)&gt;8), "X", " ")</f>
        <v>X</v>
      </c>
    </row>
    <row r="15" spans="1:19" ht="31.8" thickBot="1" x14ac:dyDescent="0.35">
      <c r="A15" s="26">
        <v>12</v>
      </c>
      <c r="B15" s="5" t="s">
        <v>60</v>
      </c>
      <c r="C15" s="3" t="s">
        <v>61</v>
      </c>
      <c r="D15" s="5" t="s">
        <v>62</v>
      </c>
      <c r="E15" s="3" t="s">
        <v>27</v>
      </c>
      <c r="F15" s="4">
        <v>2001</v>
      </c>
      <c r="G15" s="5" t="s">
        <v>63</v>
      </c>
      <c r="H15" s="4">
        <v>6</v>
      </c>
      <c r="I15" s="4">
        <v>9</v>
      </c>
      <c r="J15" s="4">
        <v>10</v>
      </c>
      <c r="K15" s="4">
        <v>8</v>
      </c>
      <c r="L15" s="27">
        <f>SUM(H15:K15)</f>
        <v>33</v>
      </c>
      <c r="M15" s="3">
        <f>IF(RIGHT(B15)="1",2,IF(RIGHT(B15)="2",1.5,1))</f>
        <v>1.5</v>
      </c>
      <c r="N15" s="3">
        <f>SUM(L15:M15)</f>
        <v>34.5</v>
      </c>
      <c r="O15" s="3" t="str">
        <f>HLOOKUP(LEFT(B15,1),$M$25:$P$26,2,FALSE)</f>
        <v>Lý</v>
      </c>
      <c r="P15" s="3">
        <f>HLOOKUP(LEFT(B15,1),$M$25:$P$27,3,FALSE)</f>
        <v>28</v>
      </c>
      <c r="Q15" s="28" t="str">
        <f>IF(L15&gt;=P15, "Đạt", " ")</f>
        <v>Đạt</v>
      </c>
      <c r="R15" s="29" t="str">
        <f>IF(AND(H15&gt;=9,MAX(J15:K15)&gt;8), "X", " ")</f>
        <v xml:space="preserve"> </v>
      </c>
      <c r="S15" s="29" t="str">
        <f>IF(AND(H15&gt;=9,MAX(K15,I15)&gt;8), "X", " ")</f>
        <v xml:space="preserve"> </v>
      </c>
    </row>
    <row r="16" spans="1:19" ht="16.2" thickBot="1" x14ac:dyDescent="0.35">
      <c r="A16" s="26">
        <v>13</v>
      </c>
      <c r="B16" s="5" t="s">
        <v>64</v>
      </c>
      <c r="C16" s="3" t="s">
        <v>65</v>
      </c>
      <c r="D16" s="3" t="s">
        <v>66</v>
      </c>
      <c r="E16" s="3" t="s">
        <v>27</v>
      </c>
      <c r="F16" s="4">
        <v>2000</v>
      </c>
      <c r="G16" s="3" t="s">
        <v>23</v>
      </c>
      <c r="H16" s="4">
        <v>9.6</v>
      </c>
      <c r="I16" s="4">
        <v>9</v>
      </c>
      <c r="J16" s="4">
        <v>9</v>
      </c>
      <c r="K16" s="4">
        <v>10</v>
      </c>
      <c r="L16" s="27">
        <f>SUM(H16:K16)</f>
        <v>37.6</v>
      </c>
      <c r="M16" s="3">
        <f>IF(RIGHT(B16)="1",2,IF(RIGHT(B16)="2",1.5,1))</f>
        <v>2</v>
      </c>
      <c r="N16" s="3">
        <f>SUM(L16:M16)</f>
        <v>39.6</v>
      </c>
      <c r="O16" s="3" t="str">
        <f>HLOOKUP(LEFT(B16,1),$M$25:$P$26,2,FALSE)</f>
        <v>Toán</v>
      </c>
      <c r="P16" s="3">
        <f>HLOOKUP(LEFT(B16,1),$M$25:$P$27,3,FALSE)</f>
        <v>29</v>
      </c>
      <c r="Q16" s="28" t="str">
        <f>IF(L16&gt;=P16, "Đạt", " ")</f>
        <v>Đạt</v>
      </c>
      <c r="R16" s="29" t="str">
        <f>IF(AND(H16&gt;=9,MAX(J16:K16)&gt;8), "X", " ")</f>
        <v>X</v>
      </c>
      <c r="S16" s="29" t="str">
        <f>IF(AND(H16&gt;=9,MAX(K16,I16)&gt;8), "X", " ")</f>
        <v>X</v>
      </c>
    </row>
    <row r="17" spans="1:19" ht="16.2" thickBot="1" x14ac:dyDescent="0.35">
      <c r="A17" s="26">
        <v>14</v>
      </c>
      <c r="B17" s="5" t="s">
        <v>67</v>
      </c>
      <c r="C17" s="3" t="s">
        <v>68</v>
      </c>
      <c r="D17" s="5" t="s">
        <v>62</v>
      </c>
      <c r="E17" s="3"/>
      <c r="F17" s="4">
        <v>2000</v>
      </c>
      <c r="G17" s="3" t="s">
        <v>46</v>
      </c>
      <c r="H17" s="4">
        <v>9.6</v>
      </c>
      <c r="I17" s="4">
        <v>9</v>
      </c>
      <c r="J17" s="4">
        <v>8</v>
      </c>
      <c r="K17" s="4">
        <v>10</v>
      </c>
      <c r="L17" s="27">
        <f>SUM(H17:K17)</f>
        <v>36.6</v>
      </c>
      <c r="M17" s="3">
        <f>IF(RIGHT(B17)="1",2,IF(RIGHT(B17)="2",1.5,1))</f>
        <v>1.5</v>
      </c>
      <c r="N17" s="3">
        <f>SUM(L17:M17)</f>
        <v>38.1</v>
      </c>
      <c r="O17" s="3" t="str">
        <f>HLOOKUP(LEFT(B17,1),$M$25:$P$26,2,FALSE)</f>
        <v>Lý</v>
      </c>
      <c r="P17" s="3">
        <f>HLOOKUP(LEFT(B17,1),$M$25:$P$27,3,FALSE)</f>
        <v>28</v>
      </c>
      <c r="Q17" s="28" t="str">
        <f>IF(L17&gt;=P17, "Đạt", " ")</f>
        <v>Đạt</v>
      </c>
      <c r="R17" s="29" t="str">
        <f>IF(AND(H17&gt;=9,MAX(J17:K17)&gt;8), "X", " ")</f>
        <v>X</v>
      </c>
      <c r="S17" s="29" t="str">
        <f>IF(AND(H17&gt;=9,MAX(K17,I17)&gt;8), "X", " ")</f>
        <v>X</v>
      </c>
    </row>
    <row r="18" spans="1:19" ht="16.2" thickBot="1" x14ac:dyDescent="0.35">
      <c r="A18" s="26">
        <v>15</v>
      </c>
      <c r="B18" s="5" t="s">
        <v>69</v>
      </c>
      <c r="C18" s="3" t="s">
        <v>25</v>
      </c>
      <c r="D18" s="3" t="s">
        <v>59</v>
      </c>
      <c r="E18" s="3" t="s">
        <v>27</v>
      </c>
      <c r="F18" s="4">
        <v>2000</v>
      </c>
      <c r="G18" s="3" t="s">
        <v>36</v>
      </c>
      <c r="H18" s="4">
        <v>8</v>
      </c>
      <c r="I18" s="4">
        <v>8</v>
      </c>
      <c r="J18" s="4">
        <v>10</v>
      </c>
      <c r="K18" s="4">
        <v>9.6</v>
      </c>
      <c r="L18" s="27">
        <f>SUM(H18:K18)</f>
        <v>35.6</v>
      </c>
      <c r="M18" s="3">
        <f>IF(RIGHT(B18)="1",2,IF(RIGHT(B18)="2",1.5,1))</f>
        <v>1</v>
      </c>
      <c r="N18" s="3">
        <f>SUM(L18:M18)</f>
        <v>36.6</v>
      </c>
      <c r="O18" s="3" t="str">
        <f>HLOOKUP(LEFT(B18,1),$M$25:$P$26,2,FALSE)</f>
        <v>Sinh</v>
      </c>
      <c r="P18" s="3">
        <f>HLOOKUP(LEFT(B18,1),$M$25:$P$27,3,FALSE)</f>
        <v>24</v>
      </c>
      <c r="Q18" s="28" t="str">
        <f>IF(L18&gt;=P18, "Đạt", " ")</f>
        <v>Đạt</v>
      </c>
      <c r="R18" s="29" t="str">
        <f>IF(AND(H18&gt;=9,MAX(J18:K18)&gt;8), "X", " ")</f>
        <v xml:space="preserve"> </v>
      </c>
      <c r="S18" s="29" t="str">
        <f>IF(AND(H18&gt;=9,MAX(K18,I18)&gt;8), "X", " ")</f>
        <v xml:space="preserve"> </v>
      </c>
    </row>
    <row r="19" spans="1:19" ht="31.8" thickBot="1" x14ac:dyDescent="0.35">
      <c r="A19" s="26">
        <v>16</v>
      </c>
      <c r="B19" s="5" t="s">
        <v>70</v>
      </c>
      <c r="C19" s="3" t="s">
        <v>71</v>
      </c>
      <c r="D19" s="3" t="s">
        <v>72</v>
      </c>
      <c r="E19" s="3"/>
      <c r="F19" s="4">
        <v>2001</v>
      </c>
      <c r="G19" s="5" t="s">
        <v>53</v>
      </c>
      <c r="H19" s="4">
        <v>10</v>
      </c>
      <c r="I19" s="4">
        <v>10</v>
      </c>
      <c r="J19" s="4">
        <v>10</v>
      </c>
      <c r="K19" s="4">
        <v>9</v>
      </c>
      <c r="L19" s="27">
        <f>SUM(H19:K19)</f>
        <v>39</v>
      </c>
      <c r="M19" s="3">
        <f>IF(RIGHT(B19)="1",2,IF(RIGHT(B19)="2",1.5,1))</f>
        <v>1</v>
      </c>
      <c r="N19" s="3">
        <f>SUM(L19:M19)</f>
        <v>40</v>
      </c>
      <c r="O19" s="3" t="str">
        <f>HLOOKUP(LEFT(B19,1),$M$25:$P$26,2,FALSE)</f>
        <v>Lý</v>
      </c>
      <c r="P19" s="3">
        <f>HLOOKUP(LEFT(B19,1),$M$25:$P$27,3,FALSE)</f>
        <v>28</v>
      </c>
      <c r="Q19" s="28" t="str">
        <f>IF(L19&gt;=P19, "Đạt", " ")</f>
        <v>Đạt</v>
      </c>
      <c r="R19" s="29" t="str">
        <f>IF(AND(H19&gt;=9,MAX(J19:K19)&gt;8), "X", " ")</f>
        <v>X</v>
      </c>
      <c r="S19" s="29" t="str">
        <f>IF(AND(H19&gt;=9,MAX(K19,I19)&gt;8), "X", " ")</f>
        <v>X</v>
      </c>
    </row>
    <row r="20" spans="1:19" ht="16.2" thickBot="1" x14ac:dyDescent="0.35">
      <c r="A20" s="26">
        <v>17</v>
      </c>
      <c r="B20" s="5" t="s">
        <v>73</v>
      </c>
      <c r="C20" s="3" t="s">
        <v>74</v>
      </c>
      <c r="D20" s="3" t="s">
        <v>75</v>
      </c>
      <c r="E20" s="3"/>
      <c r="F20" s="4">
        <v>2000</v>
      </c>
      <c r="G20" s="3" t="s">
        <v>56</v>
      </c>
      <c r="H20" s="4">
        <v>9.6</v>
      </c>
      <c r="I20" s="4">
        <v>9</v>
      </c>
      <c r="J20" s="4">
        <v>9.6</v>
      </c>
      <c r="K20" s="4">
        <v>9.6</v>
      </c>
      <c r="L20" s="27">
        <f>SUM(H20:K20)</f>
        <v>37.800000000000004</v>
      </c>
      <c r="M20" s="3">
        <f>IF(RIGHT(B20)="1",2,IF(RIGHT(B20)="2",1.5,1))</f>
        <v>2</v>
      </c>
      <c r="N20" s="3">
        <f>SUM(L20:M20)</f>
        <v>39.800000000000004</v>
      </c>
      <c r="O20" s="3" t="str">
        <f>HLOOKUP(LEFT(B20,1),$M$25:$P$26,2,FALSE)</f>
        <v>Hóa</v>
      </c>
      <c r="P20" s="3">
        <f>HLOOKUP(LEFT(B20,1),$M$25:$P$27,3,FALSE)</f>
        <v>26</v>
      </c>
      <c r="Q20" s="28" t="str">
        <f>IF(L20&gt;=P20, "Đạt", " ")</f>
        <v>Đạt</v>
      </c>
      <c r="R20" s="29" t="str">
        <f>IF(AND(H20&gt;=9,MAX(J20:K20)&gt;8), "X", " ")</f>
        <v>X</v>
      </c>
      <c r="S20" s="29" t="str">
        <f>IF(AND(H20&gt;=9,MAX(K20,I20)&gt;8), "X", " ")</f>
        <v>X</v>
      </c>
    </row>
    <row r="21" spans="1:19" ht="31.8" thickBot="1" x14ac:dyDescent="0.35">
      <c r="A21" s="26">
        <v>18</v>
      </c>
      <c r="B21" s="5" t="s">
        <v>76</v>
      </c>
      <c r="C21" s="3" t="s">
        <v>77</v>
      </c>
      <c r="D21" s="5" t="s">
        <v>78</v>
      </c>
      <c r="E21" s="3"/>
      <c r="F21" s="4">
        <v>2001</v>
      </c>
      <c r="G21" s="3" t="s">
        <v>40</v>
      </c>
      <c r="H21" s="4">
        <v>9</v>
      </c>
      <c r="I21" s="4">
        <v>10</v>
      </c>
      <c r="J21" s="4">
        <v>9</v>
      </c>
      <c r="K21" s="4">
        <v>8</v>
      </c>
      <c r="L21" s="27">
        <f>SUM(H21:K21)</f>
        <v>36</v>
      </c>
      <c r="M21" s="3">
        <f>IF(RIGHT(B21)="1",2,IF(RIGHT(B21)="2",1.5,1))</f>
        <v>1.5</v>
      </c>
      <c r="N21" s="3">
        <f>SUM(L21:M21)</f>
        <v>37.5</v>
      </c>
      <c r="O21" s="3" t="str">
        <f>HLOOKUP(LEFT(B21,1),$M$25:$P$26,2,FALSE)</f>
        <v>Toán</v>
      </c>
      <c r="P21" s="3">
        <f>HLOOKUP(LEFT(B21,1),$M$25:$P$27,3,FALSE)</f>
        <v>29</v>
      </c>
      <c r="Q21" s="28" t="str">
        <f>IF(L21&gt;=P21, "Đạt", " ")</f>
        <v>Đạt</v>
      </c>
      <c r="R21" s="29" t="str">
        <f>IF(AND(H21&gt;=9,MAX(J21:K21)&gt;8), "X", " ")</f>
        <v>X</v>
      </c>
      <c r="S21" s="29" t="str">
        <f>IF(AND(H21&gt;=9,MAX(K21,I21)&gt;8), "X", " ")</f>
        <v>X</v>
      </c>
    </row>
    <row r="22" spans="1:19" ht="46.8" customHeight="1" thickBot="1" x14ac:dyDescent="0.35">
      <c r="A22" s="26">
        <v>19</v>
      </c>
      <c r="B22" s="5" t="s">
        <v>79</v>
      </c>
      <c r="C22" s="5" t="s">
        <v>80</v>
      </c>
      <c r="D22" s="3" t="s">
        <v>81</v>
      </c>
      <c r="E22" s="3"/>
      <c r="F22" s="4">
        <v>2000</v>
      </c>
      <c r="G22" s="3" t="s">
        <v>36</v>
      </c>
      <c r="H22" s="4">
        <v>8</v>
      </c>
      <c r="I22" s="4">
        <v>9</v>
      </c>
      <c r="J22" s="4">
        <v>9</v>
      </c>
      <c r="K22" s="4">
        <v>9</v>
      </c>
      <c r="L22" s="27">
        <f>SUM(H22:K22)</f>
        <v>35</v>
      </c>
      <c r="M22" s="3">
        <f>IF(RIGHT(B22)="1",2,IF(RIGHT(B22)="2",1.5,1))</f>
        <v>1.5</v>
      </c>
      <c r="N22" s="3">
        <f>SUM(L22:M22)</f>
        <v>36.5</v>
      </c>
      <c r="O22" s="3" t="str">
        <f>HLOOKUP(LEFT(B22,1),$M$25:$P$26,2,FALSE)</f>
        <v>Toán</v>
      </c>
      <c r="P22" s="3">
        <f>HLOOKUP(LEFT(B22,1),$M$25:$P$27,3,FALSE)</f>
        <v>29</v>
      </c>
      <c r="Q22" s="28" t="str">
        <f>IF(L22&gt;=P22, "Đạt", " ")</f>
        <v>Đạt</v>
      </c>
      <c r="R22" s="29" t="str">
        <f>IF(AND(H22&gt;=9,MAX(J22:K22)&gt;8), "X", " ")</f>
        <v xml:space="preserve"> </v>
      </c>
      <c r="S22" s="29" t="str">
        <f>IF(AND(H22&gt;=9,MAX(K22,I22)&gt;8), "X", " ")</f>
        <v xml:space="preserve"> </v>
      </c>
    </row>
    <row r="23" spans="1:19" ht="16.2" thickBot="1" x14ac:dyDescent="0.35">
      <c r="A23" s="26">
        <v>20</v>
      </c>
      <c r="B23" s="5" t="s">
        <v>82</v>
      </c>
      <c r="C23" s="3" t="s">
        <v>83</v>
      </c>
      <c r="D23" s="3" t="s">
        <v>35</v>
      </c>
      <c r="E23" s="3" t="s">
        <v>27</v>
      </c>
      <c r="F23" s="4">
        <v>2000</v>
      </c>
      <c r="G23" s="3" t="s">
        <v>36</v>
      </c>
      <c r="H23" s="4">
        <v>9</v>
      </c>
      <c r="I23" s="4">
        <v>8</v>
      </c>
      <c r="J23" s="4">
        <v>9</v>
      </c>
      <c r="K23" s="4">
        <v>9</v>
      </c>
      <c r="L23" s="27">
        <f>SUM(H23:K23)</f>
        <v>35</v>
      </c>
      <c r="M23" s="3">
        <f>IF(RIGHT(B23)="1",2,IF(RIGHT(B23)="2",1.5,1))</f>
        <v>2</v>
      </c>
      <c r="N23" s="3">
        <f>SUM(L23:M23)</f>
        <v>37</v>
      </c>
      <c r="O23" s="3" t="str">
        <f>HLOOKUP(LEFT(B23,1),$M$25:$P$26,2,FALSE)</f>
        <v>Toán</v>
      </c>
      <c r="P23" s="3">
        <f>HLOOKUP(LEFT(B23,1),$M$25:$P$27,3,FALSE)</f>
        <v>29</v>
      </c>
      <c r="Q23" s="28" t="str">
        <f>IF(L23&gt;=P23, "Đạt", " ")</f>
        <v>Đạt</v>
      </c>
      <c r="R23" s="29" t="str">
        <f>IF(AND(H23&gt;=9,MAX(J23:K23)&gt;8), "X", " ")</f>
        <v>X</v>
      </c>
      <c r="S23" s="29" t="str">
        <f>IF(AND(H23&gt;=9,MAX(K23,I23)&gt;8), "X", " ")</f>
        <v>X</v>
      </c>
    </row>
    <row r="24" spans="1:19" ht="15" thickBot="1" x14ac:dyDescent="0.35">
      <c r="B24" s="6" t="s">
        <v>84</v>
      </c>
    </row>
    <row r="25" spans="1:19" ht="16.2" thickBot="1" x14ac:dyDescent="0.35">
      <c r="B25" s="7" t="s">
        <v>85</v>
      </c>
      <c r="L25" s="20" t="s">
        <v>2</v>
      </c>
      <c r="M25" s="20" t="s">
        <v>108</v>
      </c>
      <c r="N25" s="20" t="s">
        <v>109</v>
      </c>
      <c r="O25" s="20" t="s">
        <v>110</v>
      </c>
      <c r="P25" s="20" t="s">
        <v>111</v>
      </c>
    </row>
    <row r="26" spans="1:19" ht="16.2" thickBot="1" x14ac:dyDescent="0.35">
      <c r="B26" s="7" t="s">
        <v>86</v>
      </c>
      <c r="L26" s="20" t="s">
        <v>15</v>
      </c>
      <c r="M26" s="20" t="s">
        <v>8</v>
      </c>
      <c r="N26" s="20" t="s">
        <v>10</v>
      </c>
      <c r="O26" s="20" t="s">
        <v>11</v>
      </c>
      <c r="P26" s="20" t="s">
        <v>9</v>
      </c>
    </row>
    <row r="27" spans="1:19" ht="16.2" thickBot="1" x14ac:dyDescent="0.35">
      <c r="B27" s="7" t="s">
        <v>87</v>
      </c>
      <c r="L27" s="20" t="s">
        <v>16</v>
      </c>
      <c r="M27" s="20">
        <v>29</v>
      </c>
      <c r="N27" s="20">
        <v>28</v>
      </c>
      <c r="O27" s="20">
        <v>26</v>
      </c>
      <c r="P27" s="20">
        <v>24</v>
      </c>
    </row>
    <row r="28" spans="1:19" ht="15.6" x14ac:dyDescent="0.3">
      <c r="B28" s="8" t="s">
        <v>88</v>
      </c>
    </row>
    <row r="29" spans="1:19" ht="15.6" x14ac:dyDescent="0.3">
      <c r="B29" s="7" t="s">
        <v>89</v>
      </c>
    </row>
    <row r="30" spans="1:19" ht="15.6" x14ac:dyDescent="0.3">
      <c r="B30" s="7" t="s">
        <v>90</v>
      </c>
    </row>
    <row r="31" spans="1:19" ht="15.6" x14ac:dyDescent="0.3">
      <c r="B31" s="21" t="s">
        <v>91</v>
      </c>
    </row>
    <row r="32" spans="1:19" ht="15.6" x14ac:dyDescent="0.3">
      <c r="B32" s="7" t="s">
        <v>92</v>
      </c>
    </row>
    <row r="33" spans="2:8" ht="15.6" x14ac:dyDescent="0.3">
      <c r="B33" s="7" t="s">
        <v>93</v>
      </c>
    </row>
    <row r="34" spans="2:8" ht="15.6" x14ac:dyDescent="0.3">
      <c r="B34" s="7" t="s">
        <v>94</v>
      </c>
    </row>
    <row r="35" spans="2:8" ht="15.6" x14ac:dyDescent="0.3">
      <c r="B35" s="7" t="s">
        <v>95</v>
      </c>
    </row>
    <row r="36" spans="2:8" ht="15.6" x14ac:dyDescent="0.3">
      <c r="B36" s="7" t="s">
        <v>96</v>
      </c>
    </row>
    <row r="37" spans="2:8" ht="15.6" x14ac:dyDescent="0.3">
      <c r="B37" s="7" t="s">
        <v>97</v>
      </c>
    </row>
    <row r="38" spans="2:8" ht="15.6" x14ac:dyDescent="0.3">
      <c r="B38" s="7" t="s">
        <v>98</v>
      </c>
      <c r="H38" s="31" t="s">
        <v>112</v>
      </c>
    </row>
    <row r="39" spans="2:8" ht="16.2" thickBot="1" x14ac:dyDescent="0.35">
      <c r="B39" s="7" t="s">
        <v>99</v>
      </c>
    </row>
    <row r="40" spans="2:8" ht="31.2" x14ac:dyDescent="0.3">
      <c r="B40" s="15" t="s">
        <v>100</v>
      </c>
      <c r="C40" s="17" t="s">
        <v>101</v>
      </c>
      <c r="D40" s="9" t="s">
        <v>102</v>
      </c>
      <c r="E40" s="11" t="s">
        <v>103</v>
      </c>
    </row>
    <row r="41" spans="2:8" ht="16.2" thickBot="1" x14ac:dyDescent="0.35">
      <c r="B41" s="16"/>
      <c r="C41" s="18"/>
      <c r="D41" s="10" t="s">
        <v>101</v>
      </c>
      <c r="E41" s="12" t="s">
        <v>104</v>
      </c>
    </row>
    <row r="42" spans="2:8" ht="47.4" thickBot="1" x14ac:dyDescent="0.35">
      <c r="B42" s="13" t="s">
        <v>105</v>
      </c>
      <c r="C42" s="3">
        <f>COUNTIF($Q$4:$Q$23,"Đạt")</f>
        <v>20</v>
      </c>
      <c r="D42" s="3">
        <f>COUNTIF($Q$4:$Q$23," ")</f>
        <v>0</v>
      </c>
      <c r="E42" s="3">
        <f>SUM(C42:D42)</f>
        <v>20</v>
      </c>
    </row>
    <row r="43" spans="2:8" ht="31.8" thickBot="1" x14ac:dyDescent="0.35">
      <c r="B43" s="14" t="s">
        <v>106</v>
      </c>
      <c r="C43" s="30">
        <f>C42/COUNTA($A$4:$A$23)</f>
        <v>1</v>
      </c>
      <c r="D43" s="30">
        <f>D42/COUNTA($A$4:$A$23)</f>
        <v>0</v>
      </c>
      <c r="E43" s="32">
        <v>1</v>
      </c>
    </row>
    <row r="44" spans="2:8" ht="15.6" x14ac:dyDescent="0.3">
      <c r="B44" s="19"/>
    </row>
  </sheetData>
  <mergeCells count="2">
    <mergeCell ref="B40:B41"/>
    <mergeCell ref="C40:C4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Minh</dc:creator>
  <cp:lastModifiedBy>Ngoc Minh</cp:lastModifiedBy>
  <dcterms:created xsi:type="dcterms:W3CDTF">2015-06-05T18:17:20Z</dcterms:created>
  <dcterms:modified xsi:type="dcterms:W3CDTF">2025-11-04T15:11:44Z</dcterms:modified>
</cp:coreProperties>
</file>