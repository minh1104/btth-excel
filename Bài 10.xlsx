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gocm\Downloads\Excel 2\"/>
    </mc:Choice>
  </mc:AlternateContent>
  <xr:revisionPtr revIDLastSave="0" documentId="13_ncr:1_{1646908A-A504-4FEC-864C-A516B98E353F}" xr6:coauthVersionLast="47" xr6:coauthVersionMax="47" xr10:uidLastSave="{00000000-0000-0000-0000-000000000000}"/>
  <bookViews>
    <workbookView xWindow="-108" yWindow="-108" windowWidth="23256" windowHeight="12456" xr2:uid="{3D4E4617-9BD1-4D28-8FA0-693B2777B72E}"/>
  </bookViews>
  <sheets>
    <sheet name="Sheet1" sheetId="1" r:id="rId1"/>
  </sheets>
  <definedNames>
    <definedName name="_xlnm._FilterDatabase" localSheetId="0" hidden="1">Sheet1!$A$3:$L$13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" i="1" l="1"/>
  <c r="J6" i="1"/>
  <c r="J7" i="1"/>
  <c r="J8" i="1"/>
  <c r="J9" i="1"/>
  <c r="J10" i="1"/>
  <c r="J11" i="1"/>
  <c r="J12" i="1"/>
  <c r="J13" i="1"/>
  <c r="J4" i="1"/>
  <c r="K5" i="1"/>
  <c r="K6" i="1"/>
  <c r="K7" i="1"/>
  <c r="K8" i="1"/>
  <c r="K9" i="1"/>
  <c r="K10" i="1"/>
  <c r="K11" i="1"/>
  <c r="K12" i="1"/>
  <c r="K13" i="1"/>
  <c r="K4" i="1"/>
  <c r="I4" i="1"/>
  <c r="H5" i="1"/>
  <c r="H6" i="1"/>
  <c r="H7" i="1"/>
  <c r="H8" i="1"/>
  <c r="H9" i="1"/>
  <c r="H10" i="1"/>
  <c r="H11" i="1"/>
  <c r="H12" i="1"/>
  <c r="H13" i="1"/>
  <c r="H4" i="1"/>
  <c r="G13" i="1"/>
  <c r="G5" i="1"/>
  <c r="G6" i="1"/>
  <c r="G7" i="1"/>
  <c r="G8" i="1"/>
  <c r="G9" i="1"/>
  <c r="G10" i="1"/>
  <c r="G11" i="1"/>
  <c r="G12" i="1"/>
  <c r="G4" i="1"/>
  <c r="I5" i="1"/>
  <c r="I6" i="1"/>
  <c r="I7" i="1"/>
  <c r="I8" i="1"/>
  <c r="I9" i="1"/>
  <c r="I10" i="1"/>
  <c r="I11" i="1"/>
  <c r="I12" i="1"/>
  <c r="I13" i="1"/>
  <c r="L4" i="1" l="1"/>
  <c r="F35" i="1" s="1"/>
  <c r="L12" i="1"/>
  <c r="L9" i="1"/>
  <c r="E35" i="1" s="1"/>
  <c r="L13" i="1"/>
  <c r="L5" i="1"/>
  <c r="L7" i="1"/>
  <c r="L11" i="1"/>
  <c r="L10" i="1"/>
  <c r="L8" i="1"/>
  <c r="L6" i="1"/>
  <c r="B35" i="1" s="1"/>
  <c r="G35" i="1" l="1"/>
  <c r="C35" i="1"/>
  <c r="D35" i="1"/>
  <c r="C36" i="1" l="1"/>
  <c r="F36" i="1"/>
  <c r="B36" i="1"/>
  <c r="E36" i="1"/>
  <c r="G36" i="1"/>
  <c r="D36" i="1"/>
</calcChain>
</file>

<file path=xl/sharedStrings.xml><?xml version="1.0" encoding="utf-8"?>
<sst xmlns="http://schemas.openxmlformats.org/spreadsheetml/2006/main" count="82" uniqueCount="74">
  <si>
    <t>BÀI 10</t>
  </si>
  <si>
    <t>BẢNG KÊ CHI PHÍ KHÁCH SẠN</t>
  </si>
  <si>
    <t>Họ đệm</t>
  </si>
  <si>
    <t>Tên</t>
  </si>
  <si>
    <t>Mã số</t>
  </si>
  <si>
    <t>Ngày đến</t>
  </si>
  <si>
    <t>Ngày đi</t>
  </si>
  <si>
    <t>Tiền ăn</t>
  </si>
  <si>
    <t>Tuần</t>
  </si>
  <si>
    <t>ĐGT</t>
  </si>
  <si>
    <t>Ngày</t>
  </si>
  <si>
    <t>ĐGN</t>
  </si>
  <si>
    <t>Thành tiền</t>
  </si>
  <si>
    <t>Trần Ngọc</t>
  </si>
  <si>
    <t>Thanh</t>
  </si>
  <si>
    <t>L3A-F0</t>
  </si>
  <si>
    <t>Nguyễn Thùy</t>
  </si>
  <si>
    <t>Dương</t>
  </si>
  <si>
    <t>L2A-F4</t>
  </si>
  <si>
    <t>Nguyễn An</t>
  </si>
  <si>
    <t>Khương</t>
  </si>
  <si>
    <t>L1A-F4</t>
  </si>
  <si>
    <t>Huỳnh Bảo</t>
  </si>
  <si>
    <t>Trâm</t>
  </si>
  <si>
    <t>L2A-F1</t>
  </si>
  <si>
    <t>Trần Đình</t>
  </si>
  <si>
    <t>Khôi</t>
  </si>
  <si>
    <t>L1B-F4</t>
  </si>
  <si>
    <t>Phan Phước</t>
  </si>
  <si>
    <t>Định</t>
  </si>
  <si>
    <t>L2B-F2</t>
  </si>
  <si>
    <t>Hà Bảo</t>
  </si>
  <si>
    <t>Thơ</t>
  </si>
  <si>
    <t>L1A-F0</t>
  </si>
  <si>
    <t>Phạm Thành</t>
  </si>
  <si>
    <t>Tâm</t>
  </si>
  <si>
    <t>L3B-F0</t>
  </si>
  <si>
    <t>Lê Quốc</t>
  </si>
  <si>
    <t>Sinh</t>
  </si>
  <si>
    <t>L3B-F1</t>
  </si>
  <si>
    <t>Bùi Thế</t>
  </si>
  <si>
    <t>Duy</t>
  </si>
  <si>
    <t>L1B-F3</t>
  </si>
  <si>
    <t>BIỂU GIÁ PHÒNG</t>
  </si>
  <si>
    <t>BIỂU GIÁ KHẨU PHẦN ĂN MỘT NGÀY</t>
  </si>
  <si>
    <t>Loại phòng</t>
  </si>
  <si>
    <t>L1A</t>
  </si>
  <si>
    <t>L1B</t>
  </si>
  <si>
    <t>L2A</t>
  </si>
  <si>
    <t>L2B</t>
  </si>
  <si>
    <t>L3A</t>
  </si>
  <si>
    <t>L3B</t>
  </si>
  <si>
    <t>F0</t>
  </si>
  <si>
    <t>F1</t>
  </si>
  <si>
    <t>F2</t>
  </si>
  <si>
    <t>F3</t>
  </si>
  <si>
    <t>F4</t>
  </si>
  <si>
    <t>Yêu cầu :</t>
  </si>
  <si>
    <r>
      <t xml:space="preserve">1/ a) Nhập thông tin cột </t>
    </r>
    <r>
      <rPr>
        <b/>
        <sz val="11"/>
        <color rgb="FF000000"/>
        <rFont val="Times New Roman"/>
        <family val="1"/>
      </rPr>
      <t xml:space="preserve">STT </t>
    </r>
    <r>
      <rPr>
        <sz val="11"/>
        <color rgb="FF000000"/>
        <rFont val="Times New Roman"/>
        <family val="1"/>
      </rPr>
      <t xml:space="preserve">(tự động tăng), </t>
    </r>
    <r>
      <rPr>
        <b/>
        <sz val="11"/>
        <color rgb="FF000000"/>
        <rFont val="Times New Roman"/>
        <family val="1"/>
      </rPr>
      <t xml:space="preserve">Họ, Tên, Mã số, Ngày đến, Ngày đi </t>
    </r>
    <r>
      <rPr>
        <sz val="11"/>
        <color rgb="FF000000"/>
        <rFont val="Times New Roman"/>
        <family val="1"/>
      </rPr>
      <t>(lưu ý nhập đúng kiểu date)</t>
    </r>
  </si>
  <si>
    <r>
      <t xml:space="preserve">    b) Tạo 2 bảng </t>
    </r>
    <r>
      <rPr>
        <i/>
        <sz val="11"/>
        <color rgb="FF000000"/>
        <rFont val="Times New Roman"/>
        <family val="1"/>
      </rPr>
      <t>Biểu giá phòng</t>
    </r>
    <r>
      <rPr>
        <sz val="11"/>
        <color rgb="FF000000"/>
        <rFont val="Times New Roman"/>
        <family val="1"/>
      </rPr>
      <t xml:space="preserve"> và</t>
    </r>
    <r>
      <rPr>
        <i/>
        <sz val="11"/>
        <color rgb="FF000000"/>
        <rFont val="Times New Roman"/>
        <family val="1"/>
      </rPr>
      <t xml:space="preserve"> Biểu giá khẩu phần ăn một ngày</t>
    </r>
    <r>
      <rPr>
        <sz val="11"/>
        <color rgb="FF000000"/>
        <rFont val="Times New Roman"/>
        <family val="1"/>
      </rPr>
      <t xml:space="preserve"> (theo mẫu).</t>
    </r>
  </si>
  <si>
    <t>2/ Lập công thức tính số liệu cho các cột :</t>
  </si>
  <si>
    <r>
      <t xml:space="preserve">    a) </t>
    </r>
    <r>
      <rPr>
        <b/>
        <sz val="11"/>
        <color rgb="FF000000"/>
        <rFont val="Times New Roman"/>
        <family val="1"/>
      </rPr>
      <t>Tiền ăn</t>
    </r>
    <r>
      <rPr>
        <sz val="11"/>
        <color rgb="FF000000"/>
        <rFont val="Times New Roman"/>
        <family val="1"/>
      </rPr>
      <t xml:space="preserve">. Biết rằng </t>
    </r>
    <r>
      <rPr>
        <b/>
        <sz val="11"/>
        <color rgb="FF000000"/>
        <rFont val="Times New Roman"/>
        <family val="1"/>
      </rPr>
      <t>Tiền ăn = (số ngày ở)* đơn giá khẩu phần ăn.</t>
    </r>
  </si>
  <si>
    <r>
      <t>đơn giá khẩu phần ăn</t>
    </r>
    <r>
      <rPr>
        <sz val="11"/>
        <color rgb="FF000000"/>
        <rFont val="Times New Roman"/>
        <family val="1"/>
      </rPr>
      <t xml:space="preserve"> được lấy ra ở bảng </t>
    </r>
    <r>
      <rPr>
        <i/>
        <sz val="11"/>
        <color rgb="FF000000"/>
        <rFont val="Times New Roman"/>
        <family val="1"/>
      </rPr>
      <t xml:space="preserve">Biểu giá Khẩu phần ăn một ngày dựa vào 2 ký tự cuối của mã số. </t>
    </r>
    <r>
      <rPr>
        <sz val="11"/>
        <color rgb="FF000000"/>
        <rFont val="Times New Roman"/>
        <family val="1"/>
      </rPr>
      <t xml:space="preserve">   b) </t>
    </r>
    <r>
      <rPr>
        <b/>
        <sz val="11"/>
        <color rgb="FF000000"/>
        <rFont val="Times New Roman"/>
        <family val="1"/>
      </rPr>
      <t>Tuần</t>
    </r>
    <r>
      <rPr>
        <sz val="11"/>
        <color rgb="FF000000"/>
        <rFont val="Times New Roman"/>
        <family val="1"/>
      </rPr>
      <t xml:space="preserve"> và </t>
    </r>
    <r>
      <rPr>
        <b/>
        <sz val="11"/>
        <color rgb="FF000000"/>
        <rFont val="Times New Roman"/>
        <family val="1"/>
      </rPr>
      <t>ĐGT (ĐGT</t>
    </r>
    <r>
      <rPr>
        <sz val="11"/>
        <color rgb="FF000000"/>
        <rFont val="Times New Roman"/>
        <family val="1"/>
      </rPr>
      <t xml:space="preserve"> là đơn giá mướn phòng 1 tuần)</t>
    </r>
  </si>
  <si>
    <r>
      <t xml:space="preserve">   c) </t>
    </r>
    <r>
      <rPr>
        <b/>
        <sz val="11"/>
        <color rgb="FF000000"/>
        <rFont val="Times New Roman"/>
        <family val="1"/>
      </rPr>
      <t>Ngày</t>
    </r>
    <r>
      <rPr>
        <sz val="11"/>
        <color rgb="FF000000"/>
        <rFont val="Times New Roman"/>
        <family val="1"/>
      </rPr>
      <t xml:space="preserve"> và </t>
    </r>
    <r>
      <rPr>
        <b/>
        <sz val="11"/>
        <color rgb="FF000000"/>
        <rFont val="Times New Roman"/>
        <family val="1"/>
      </rPr>
      <t xml:space="preserve">ĐGN </t>
    </r>
    <r>
      <rPr>
        <sz val="11"/>
        <color rgb="FF000000"/>
        <rFont val="Times New Roman"/>
        <family val="1"/>
      </rPr>
      <t>(</t>
    </r>
    <r>
      <rPr>
        <b/>
        <sz val="11"/>
        <color rgb="FF000000"/>
        <rFont val="Times New Roman"/>
        <family val="1"/>
      </rPr>
      <t>ĐGN</t>
    </r>
    <r>
      <rPr>
        <sz val="11"/>
        <color rgb="FF000000"/>
        <rFont val="Times New Roman"/>
        <family val="1"/>
      </rPr>
      <t xml:space="preserve"> là đơn giá mướn phòng 1 ngày, </t>
    </r>
    <r>
      <rPr>
        <b/>
        <sz val="11"/>
        <color rgb="FF000000"/>
        <rFont val="Times New Roman"/>
        <family val="1"/>
      </rPr>
      <t>Ngày</t>
    </r>
    <r>
      <rPr>
        <sz val="11"/>
        <color rgb="FF000000"/>
        <rFont val="Times New Roman"/>
        <family val="1"/>
      </rPr>
      <t xml:space="preserve"> là số ngày lẻ)</t>
    </r>
  </si>
  <si>
    <r>
      <t xml:space="preserve">     ĐGT</t>
    </r>
    <r>
      <rPr>
        <sz val="11"/>
        <color rgb="FF000000"/>
        <rFont val="Times New Roman"/>
        <family val="1"/>
      </rPr>
      <t xml:space="preserve"> và </t>
    </r>
    <r>
      <rPr>
        <b/>
        <sz val="11"/>
        <color rgb="FF000000"/>
        <rFont val="Times New Roman"/>
        <family val="1"/>
      </rPr>
      <t>ĐGN</t>
    </r>
    <r>
      <rPr>
        <sz val="11"/>
        <color rgb="FF000000"/>
        <rFont val="Times New Roman"/>
        <family val="1"/>
      </rPr>
      <t xml:space="preserve"> được dò tìm và lấy ra từ </t>
    </r>
    <r>
      <rPr>
        <i/>
        <sz val="11"/>
        <color rgb="FF000000"/>
        <rFont val="Times New Roman"/>
        <family val="1"/>
      </rPr>
      <t>Biểu giá phòng</t>
    </r>
    <r>
      <rPr>
        <sz val="11"/>
        <color rgb="FF000000"/>
        <rFont val="Times New Roman"/>
        <family val="1"/>
      </rPr>
      <t xml:space="preserve"> dựa vào </t>
    </r>
    <r>
      <rPr>
        <i/>
        <sz val="11"/>
        <color rgb="FF000000"/>
        <rFont val="Times New Roman"/>
        <family val="1"/>
      </rPr>
      <t xml:space="preserve">3 ký tự đầu của Mã số </t>
    </r>
    <r>
      <rPr>
        <sz val="11"/>
        <color rgb="FF000000"/>
        <rFont val="Times New Roman"/>
        <family val="1"/>
      </rPr>
      <t xml:space="preserve">.    d) </t>
    </r>
    <r>
      <rPr>
        <b/>
        <sz val="11"/>
        <color rgb="FF000000"/>
        <rFont val="Times New Roman"/>
        <family val="1"/>
      </rPr>
      <t>Thành tiền</t>
    </r>
    <r>
      <rPr>
        <sz val="11"/>
        <color rgb="FF000000"/>
        <rFont val="Times New Roman"/>
        <family val="1"/>
      </rPr>
      <t xml:space="preserve">. Biết rằng Tổng cộng=Tiền ăn + tiền thuê phòng tính theo tuần + </t>
    </r>
    <r>
      <rPr>
        <i/>
        <sz val="11"/>
        <color rgb="FF000000"/>
        <rFont val="Times New Roman"/>
        <family val="1"/>
      </rPr>
      <t xml:space="preserve">số nhỏ </t>
    </r>
    <r>
      <rPr>
        <sz val="11"/>
        <color rgb="FF000000"/>
        <rFont val="Times New Roman"/>
        <family val="1"/>
      </rPr>
      <t xml:space="preserve">      </t>
    </r>
    <r>
      <rPr>
        <i/>
        <sz val="11"/>
        <color rgb="FF000000"/>
        <rFont val="Times New Roman"/>
        <family val="1"/>
      </rPr>
      <t>hơn</t>
    </r>
    <r>
      <rPr>
        <sz val="11"/>
        <color rgb="FF000000"/>
        <rFont val="Times New Roman"/>
        <family val="1"/>
      </rPr>
      <t xml:space="preserve"> giữa </t>
    </r>
    <r>
      <rPr>
        <b/>
        <i/>
        <sz val="11"/>
        <color rgb="FF000000"/>
        <rFont val="Times New Roman"/>
        <family val="1"/>
      </rPr>
      <t>tiền thuê phòng cho các ngày lẻ</t>
    </r>
    <r>
      <rPr>
        <sz val="11"/>
        <color rgb="FF000000"/>
        <rFont val="Times New Roman"/>
        <family val="1"/>
      </rPr>
      <t xml:space="preserve"> và</t>
    </r>
    <r>
      <rPr>
        <i/>
        <sz val="11"/>
        <color rgb="FF000000"/>
        <rFont val="Times New Roman"/>
        <family val="1"/>
      </rPr>
      <t xml:space="preserve"> </t>
    </r>
    <r>
      <rPr>
        <b/>
        <i/>
        <sz val="11"/>
        <color rgb="FF000000"/>
        <rFont val="Times New Roman"/>
        <family val="1"/>
      </rPr>
      <t>tiền thuê phòng trọn 1 tuần.</t>
    </r>
  </si>
  <si>
    <t>3/ Trang trí bảng tính và định dạng các ô chứa trị dạng số theo đúng mẫu trên.</t>
  </si>
  <si>
    <r>
      <t xml:space="preserve">4/ Rút trích danh sách những người ở phòng </t>
    </r>
    <r>
      <rPr>
        <b/>
        <sz val="11"/>
        <color rgb="FF000000"/>
        <rFont val="Times New Roman"/>
        <family val="1"/>
      </rPr>
      <t>L1A</t>
    </r>
    <r>
      <rPr>
        <sz val="11"/>
        <color rgb="FF000000"/>
        <rFont val="Times New Roman"/>
        <family val="1"/>
      </rPr>
      <t xml:space="preserve"> và </t>
    </r>
    <r>
      <rPr>
        <b/>
        <sz val="11"/>
        <color rgb="FF000000"/>
        <rFont val="Times New Roman"/>
        <family val="1"/>
      </rPr>
      <t>L3B</t>
    </r>
    <r>
      <rPr>
        <sz val="11"/>
        <color rgb="FF000000"/>
        <rFont val="Times New Roman"/>
        <family val="1"/>
      </rPr>
      <t xml:space="preserve"> có </t>
    </r>
    <r>
      <rPr>
        <b/>
        <sz val="11"/>
        <color rgb="FF000000"/>
        <rFont val="Times New Roman"/>
        <family val="1"/>
      </rPr>
      <t>500000 &lt;= Thành tiền &lt;= 1500000.</t>
    </r>
  </si>
  <si>
    <t>5/ Lập bảng tính các giá trị theo loại phòng (HS được thêm 1 cột phụ vào bảng chính)</t>
  </si>
  <si>
    <t>LOẠI PHÒNG</t>
  </si>
  <si>
    <t>TỶ LỆ (%)</t>
  </si>
  <si>
    <t>6/ Vẽ biểu đồ (PIE) phân tích tỷ lệ theo loại phòng (có tiêu đề và trang trí cần thiết).</t>
  </si>
  <si>
    <t>7/ Vẽ biểu đồ (Column) so sánh tổng thành tiền theo loại phòng (có tiêu đề và trang trí cần thiết).</t>
  </si>
  <si>
    <t>STT</t>
  </si>
  <si>
    <t xml:space="preserve">TỔNG THÀNH TIỀN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</si>
</sst>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Calibri"/>
      <family val="2"/>
      <scheme val="minor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u/>
      <sz val="11"/>
      <color rgb="FFFF0000"/>
      <name val="Times New Roman"/>
      <family val="1"/>
    </font>
    <font>
      <i/>
      <sz val="11"/>
      <color rgb="FF000000"/>
      <name val="Times New Roman"/>
      <family val="1"/>
    </font>
    <font>
      <b/>
      <i/>
      <sz val="11"/>
      <color rgb="FF000000"/>
      <name val="Times New Roman"/>
      <family val="1"/>
    </font>
    <font>
      <b/>
      <sz val="10"/>
      <color rgb="FF000000"/>
      <name val="Times New Roman"/>
      <family val="1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1">
    <border>
      <left/>
      <right/>
      <top/>
      <bottom/>
      <diagonal/>
    </border>
    <border>
      <left style="double">
        <color rgb="FF000000"/>
      </left>
      <right style="medium">
        <color rgb="FF000000"/>
      </right>
      <top style="double">
        <color rgb="FF000000"/>
      </top>
      <bottom style="medium">
        <color rgb="FF000000"/>
      </bottom>
      <diagonal/>
    </border>
    <border>
      <left/>
      <right style="medium">
        <color rgb="FF000000"/>
      </right>
      <top style="double">
        <color rgb="FF000000"/>
      </top>
      <bottom style="medium">
        <color rgb="FF000000"/>
      </bottom>
      <diagonal/>
    </border>
    <border>
      <left/>
      <right style="double">
        <color rgb="FF000000"/>
      </right>
      <top style="double">
        <color rgb="FF000000"/>
      </top>
      <bottom style="medium">
        <color rgb="FF000000"/>
      </bottom>
      <diagonal/>
    </border>
    <border>
      <left style="double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double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double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44">
    <xf numFmtId="0" fontId="0" fillId="0" borderId="0" xfId="0"/>
    <xf numFmtId="0" fontId="2" fillId="0" borderId="0" xfId="0" applyFont="1" applyAlignment="1">
      <alignment vertical="center"/>
    </xf>
    <xf numFmtId="0" fontId="2" fillId="2" borderId="1" xfId="0" applyFont="1" applyFill="1" applyBorder="1" applyAlignment="1">
      <alignment horizontal="justify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justify" vertical="center" wrapText="1"/>
    </xf>
    <xf numFmtId="0" fontId="2" fillId="2" borderId="2" xfId="0" applyFont="1" applyFill="1" applyBorder="1" applyAlignment="1">
      <alignment horizontal="left" vertical="center" wrapText="1" indent="1"/>
    </xf>
    <xf numFmtId="0" fontId="2" fillId="2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2" fillId="0" borderId="8" xfId="0" applyFont="1" applyBorder="1" applyAlignment="1">
      <alignment vertical="center" wrapText="1"/>
    </xf>
    <xf numFmtId="0" fontId="2" fillId="0" borderId="9" xfId="0" applyFont="1" applyBorder="1" applyAlignment="1">
      <alignment horizontal="left" vertical="center" wrapText="1" indent="1"/>
    </xf>
    <xf numFmtId="0" fontId="1" fillId="0" borderId="10" xfId="0" applyFont="1" applyBorder="1" applyAlignment="1">
      <alignment vertical="center" wrapText="1"/>
    </xf>
    <xf numFmtId="0" fontId="1" fillId="0" borderId="11" xfId="0" applyFont="1" applyBorder="1" applyAlignment="1">
      <alignment horizontal="left" vertical="center" wrapText="1" indent="1"/>
    </xf>
    <xf numFmtId="0" fontId="1" fillId="0" borderId="11" xfId="0" applyFont="1" applyBorder="1" applyAlignment="1">
      <alignment horizontal="righ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right" vertical="center" wrapText="1" indent="1"/>
    </xf>
    <xf numFmtId="0" fontId="1" fillId="0" borderId="11" xfId="0" applyFont="1" applyBorder="1" applyAlignment="1">
      <alignment horizontal="right" vertical="center" wrapText="1" inden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6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left" vertical="center" wrapText="1" indent="1"/>
    </xf>
    <xf numFmtId="0" fontId="2" fillId="0" borderId="17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left" vertical="center" wrapText="1" indent="1"/>
    </xf>
    <xf numFmtId="0" fontId="2" fillId="0" borderId="19" xfId="0" applyFont="1" applyBorder="1" applyAlignment="1">
      <alignment horizontal="center" vertical="center"/>
    </xf>
    <xf numFmtId="0" fontId="1" fillId="0" borderId="15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12" xfId="0" applyFont="1" applyBorder="1" applyAlignment="1">
      <alignment vertical="center" wrapText="1"/>
    </xf>
    <xf numFmtId="0" fontId="1" fillId="0" borderId="13" xfId="0" applyFont="1" applyBorder="1" applyAlignment="1">
      <alignment vertical="top" wrapText="1"/>
    </xf>
    <xf numFmtId="0" fontId="1" fillId="0" borderId="14" xfId="0" applyFont="1" applyBorder="1" applyAlignment="1">
      <alignment vertical="top" wrapText="1"/>
    </xf>
    <xf numFmtId="0" fontId="1" fillId="3" borderId="4" xfId="0" applyFont="1" applyFill="1" applyBorder="1" applyAlignment="1">
      <alignment vertical="center" wrapText="1"/>
    </xf>
    <xf numFmtId="0" fontId="1" fillId="4" borderId="5" xfId="0" applyFont="1" applyFill="1" applyBorder="1" applyAlignment="1">
      <alignment vertical="center" wrapText="1"/>
    </xf>
    <xf numFmtId="0" fontId="1" fillId="4" borderId="5" xfId="0" applyFont="1" applyFill="1" applyBorder="1" applyAlignment="1">
      <alignment horizontal="justify" vertical="center" wrapText="1"/>
    </xf>
    <xf numFmtId="0" fontId="1" fillId="4" borderId="7" xfId="0" applyFont="1" applyFill="1" applyBorder="1" applyAlignment="1">
      <alignment vertical="center" wrapText="1"/>
    </xf>
    <xf numFmtId="0" fontId="1" fillId="5" borderId="5" xfId="0" applyFont="1" applyFill="1" applyBorder="1" applyAlignment="1">
      <alignment horizontal="justify" vertical="center" wrapText="1"/>
    </xf>
    <xf numFmtId="0" fontId="1" fillId="5" borderId="7" xfId="0" applyFont="1" applyFill="1" applyBorder="1" applyAlignment="1">
      <alignment horizontal="justify" vertical="center" wrapText="1"/>
    </xf>
    <xf numFmtId="14" fontId="1" fillId="6" borderId="5" xfId="0" applyNumberFormat="1" applyFont="1" applyFill="1" applyBorder="1" applyAlignment="1">
      <alignment horizontal="right" vertical="center" wrapText="1"/>
    </xf>
    <xf numFmtId="14" fontId="1" fillId="6" borderId="7" xfId="0" applyNumberFormat="1" applyFont="1" applyFill="1" applyBorder="1" applyAlignment="1">
      <alignment horizontal="right" vertical="center" wrapText="1"/>
    </xf>
    <xf numFmtId="1" fontId="1" fillId="5" borderId="5" xfId="0" applyNumberFormat="1" applyFont="1" applyFill="1" applyBorder="1" applyAlignment="1">
      <alignment vertical="center" wrapText="1"/>
    </xf>
    <xf numFmtId="0" fontId="1" fillId="5" borderId="5" xfId="0" applyFont="1" applyFill="1" applyBorder="1" applyAlignment="1">
      <alignment vertical="center" wrapText="1"/>
    </xf>
    <xf numFmtId="0" fontId="1" fillId="4" borderId="6" xfId="0" applyFont="1" applyFill="1" applyBorder="1" applyAlignment="1">
      <alignment vertical="center" wrapText="1"/>
    </xf>
    <xf numFmtId="164" fontId="1" fillId="0" borderId="5" xfId="1" applyNumberFormat="1" applyFont="1" applyBorder="1" applyAlignment="1">
      <alignment horizontal="left" vertical="center" wrapText="1" indent="1"/>
    </xf>
    <xf numFmtId="0" fontId="6" fillId="0" borderId="20" xfId="0" applyFont="1" applyBorder="1" applyAlignment="1">
      <alignment vertical="center" wrapText="1"/>
    </xf>
    <xf numFmtId="0" fontId="1" fillId="0" borderId="20" xfId="0" applyFont="1" applyBorder="1" applyAlignment="1">
      <alignment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TỶ LỆ</a:t>
            </a:r>
            <a:r>
              <a:rPr lang="en-US" baseline="0"/>
              <a:t> THEO LOẠI PHÒNG 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Sheet1!$A$35</c:f>
              <c:strCache>
                <c:ptCount val="1"/>
                <c:pt idx="0">
                  <c:v>TỔNG THÀNH TIỀN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Sheet1!$B$34:$G$34</c:f>
              <c:strCache>
                <c:ptCount val="6"/>
                <c:pt idx="0">
                  <c:v>L1A</c:v>
                </c:pt>
                <c:pt idx="1">
                  <c:v>L1B</c:v>
                </c:pt>
                <c:pt idx="2">
                  <c:v>L2A</c:v>
                </c:pt>
                <c:pt idx="3">
                  <c:v>L2B</c:v>
                </c:pt>
                <c:pt idx="4">
                  <c:v>L3A</c:v>
                </c:pt>
                <c:pt idx="5">
                  <c:v>L3B</c:v>
                </c:pt>
              </c:strCache>
            </c:strRef>
          </c:cat>
          <c:val>
            <c:numRef>
              <c:f>Sheet1!$B$35:$G$35</c:f>
              <c:numCache>
                <c:formatCode>General</c:formatCode>
                <c:ptCount val="6"/>
                <c:pt idx="0">
                  <c:v>3045000</c:v>
                </c:pt>
                <c:pt idx="1">
                  <c:v>4920000</c:v>
                </c:pt>
                <c:pt idx="2">
                  <c:v>2073000</c:v>
                </c:pt>
                <c:pt idx="3">
                  <c:v>300000</c:v>
                </c:pt>
                <c:pt idx="4">
                  <c:v>460000</c:v>
                </c:pt>
                <c:pt idx="5">
                  <c:v>2315000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99-4386-BCA4-36B3C21A8A4E}"/>
            </c:ext>
          </c:extLst>
        </c:ser>
        <c:ser>
          <c:idx val="1"/>
          <c:order val="1"/>
          <c:tx>
            <c:strRef>
              <c:f>Sheet1!#REF!</c:f>
              <c:strCache>
                <c:ptCount val="1"/>
                <c:pt idx="0">
                  <c:v>#REF!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Sheet1!$B$34:$G$34</c:f>
              <c:strCache>
                <c:ptCount val="6"/>
                <c:pt idx="0">
                  <c:v>L1A</c:v>
                </c:pt>
                <c:pt idx="1">
                  <c:v>L1B</c:v>
                </c:pt>
                <c:pt idx="2">
                  <c:v>L2A</c:v>
                </c:pt>
                <c:pt idx="3">
                  <c:v>L2B</c:v>
                </c:pt>
                <c:pt idx="4">
                  <c:v>L3A</c:v>
                </c:pt>
                <c:pt idx="5">
                  <c:v>L3B</c:v>
                </c:pt>
              </c:strCache>
            </c:strRef>
          </c:cat>
          <c: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99-4386-BCA4-36B3C21A8A4E}"/>
            </c:ext>
          </c:extLst>
        </c:ser>
        <c:ser>
          <c:idx val="2"/>
          <c:order val="2"/>
          <c:tx>
            <c:strRef>
              <c:f>Sheet1!#REF!</c:f>
              <c:strCache>
                <c:ptCount val="1"/>
                <c:pt idx="0">
                  <c:v>#REF!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Sheet1!$B$34:$G$34</c:f>
              <c:strCache>
                <c:ptCount val="6"/>
                <c:pt idx="0">
                  <c:v>L1A</c:v>
                </c:pt>
                <c:pt idx="1">
                  <c:v>L1B</c:v>
                </c:pt>
                <c:pt idx="2">
                  <c:v>L2A</c:v>
                </c:pt>
                <c:pt idx="3">
                  <c:v>L2B</c:v>
                </c:pt>
                <c:pt idx="4">
                  <c:v>L3A</c:v>
                </c:pt>
                <c:pt idx="5">
                  <c:v>L3B</c:v>
                </c:pt>
              </c:strCache>
            </c:strRef>
          </c:cat>
          <c: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99-4386-BCA4-36B3C21A8A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TỔNG</a:t>
            </a:r>
            <a:r>
              <a:rPr lang="en-GB" baseline="0"/>
              <a:t> THÀNH TIỀN THEO LOẠI PHÒNG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Sheet1!$A$35</c:f>
              <c:strCache>
                <c:ptCount val="1"/>
                <c:pt idx="0">
                  <c:v>TỔNG THÀNH TIỀN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Sheet1!$B$34:$G$34</c:f>
              <c:strCache>
                <c:ptCount val="6"/>
                <c:pt idx="0">
                  <c:v>L1A</c:v>
                </c:pt>
                <c:pt idx="1">
                  <c:v>L1B</c:v>
                </c:pt>
                <c:pt idx="2">
                  <c:v>L2A</c:v>
                </c:pt>
                <c:pt idx="3">
                  <c:v>L2B</c:v>
                </c:pt>
                <c:pt idx="4">
                  <c:v>L3A</c:v>
                </c:pt>
                <c:pt idx="5">
                  <c:v>L3B</c:v>
                </c:pt>
              </c:strCache>
            </c:strRef>
          </c:cat>
          <c:val>
            <c:numRef>
              <c:f>Sheet1!$B$35:$G$35</c:f>
              <c:numCache>
                <c:formatCode>General</c:formatCode>
                <c:ptCount val="6"/>
                <c:pt idx="0">
                  <c:v>3045000</c:v>
                </c:pt>
                <c:pt idx="1">
                  <c:v>4920000</c:v>
                </c:pt>
                <c:pt idx="2">
                  <c:v>2073000</c:v>
                </c:pt>
                <c:pt idx="3">
                  <c:v>300000</c:v>
                </c:pt>
                <c:pt idx="4">
                  <c:v>460000</c:v>
                </c:pt>
                <c:pt idx="5">
                  <c:v>2315000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C6-4391-A2FF-291C4824BD76}"/>
            </c:ext>
          </c:extLst>
        </c:ser>
        <c:ser>
          <c:idx val="1"/>
          <c:order val="1"/>
          <c:tx>
            <c:strRef>
              <c:f>Sheet1!$A$36</c:f>
              <c:strCache>
                <c:ptCount val="1"/>
                <c:pt idx="0">
                  <c:v>TỶ LỆ (%)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Sheet1!$B$34:$G$34</c:f>
              <c:strCache>
                <c:ptCount val="6"/>
                <c:pt idx="0">
                  <c:v>L1A</c:v>
                </c:pt>
                <c:pt idx="1">
                  <c:v>L1B</c:v>
                </c:pt>
                <c:pt idx="2">
                  <c:v>L2A</c:v>
                </c:pt>
                <c:pt idx="3">
                  <c:v>L2B</c:v>
                </c:pt>
                <c:pt idx="4">
                  <c:v>L3A</c:v>
                </c:pt>
                <c:pt idx="5">
                  <c:v>L3B</c:v>
                </c:pt>
              </c:strCache>
            </c:strRef>
          </c:cat>
          <c:val>
            <c:numRef>
              <c:f>Sheet1!$B$36:$G$36</c:f>
              <c:numCache>
                <c:formatCode>0.0%</c:formatCode>
                <c:ptCount val="6"/>
                <c:pt idx="0">
                  <c:v>0.23221230839624799</c:v>
                </c:pt>
                <c:pt idx="1">
                  <c:v>0.37520018302447955</c:v>
                </c:pt>
                <c:pt idx="2">
                  <c:v>0.15808739418897277</c:v>
                </c:pt>
                <c:pt idx="3">
                  <c:v>2.2878059940517045E-2</c:v>
                </c:pt>
                <c:pt idx="4">
                  <c:v>3.5079691908792801E-2</c:v>
                </c:pt>
                <c:pt idx="5">
                  <c:v>0.17654236254098984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C6-4391-A2FF-291C4824BD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4042128"/>
        <c:axId val="194040688"/>
      </c:barChart>
      <c:catAx>
        <c:axId val="194042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040688"/>
        <c:crosses val="autoZero"/>
        <c:auto val="1"/>
        <c:lblAlgn val="ctr"/>
        <c:lblOffset val="100"/>
        <c:noMultiLvlLbl val="0"/>
      </c:catAx>
      <c:valAx>
        <c:axId val="194040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042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167640</xdr:colOff>
      <xdr:row>13</xdr:row>
      <xdr:rowOff>83820</xdr:rowOff>
    </xdr:from>
    <xdr:to>
      <xdr:col>14</xdr:col>
      <xdr:colOff>175260</xdr:colOff>
      <xdr:row>23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DE89D80-1184-AC97-0EA0-959570BF72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373380</xdr:colOff>
      <xdr:row>31</xdr:row>
      <xdr:rowOff>22860</xdr:rowOff>
    </xdr:from>
    <xdr:to>
      <xdr:col>14</xdr:col>
      <xdr:colOff>548640</xdr:colOff>
      <xdr:row>40</xdr:row>
      <xdr:rowOff>110490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D8768F3-7E69-11E2-9E96-2E622A813E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996C2-ED1E-4D82-91C2-4BB9D81386DC}">
  <dimension ref="A1:L38"/>
  <sheetViews>
    <sheetView tabSelected="1" topLeftCell="A28" zoomScaleNormal="100" workbookViewId="0">
      <selection activeCell="N34" sqref="N34"/>
    </sheetView>
  </sheetViews>
  <sheetFormatPr defaultRowHeight="14.4" x14ac:dyDescent="0.3"/>
  <cols>
    <col min="1" max="1" width="8.88671875" customWidth="1"/>
    <col min="2" max="2" width="17.77734375" customWidth="1"/>
    <col min="3" max="4" width="9.33203125" bestFit="1" customWidth="1"/>
    <col min="5" max="5" width="14" customWidth="1"/>
    <col min="6" max="6" width="14.44140625" customWidth="1"/>
    <col min="7" max="7" width="10.109375" bestFit="1" customWidth="1"/>
  </cols>
  <sheetData>
    <row r="1" spans="1:12" x14ac:dyDescent="0.3">
      <c r="A1" s="1" t="s">
        <v>0</v>
      </c>
    </row>
    <row r="2" spans="1:12" ht="15" thickBot="1" x14ac:dyDescent="0.35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</row>
    <row r="3" spans="1:12" ht="28.8" thickTop="1" thickBot="1" x14ac:dyDescent="0.35">
      <c r="A3" s="2" t="s">
        <v>72</v>
      </c>
      <c r="B3" s="3" t="s">
        <v>2</v>
      </c>
      <c r="C3" s="3" t="s">
        <v>3</v>
      </c>
      <c r="D3" s="4" t="s">
        <v>4</v>
      </c>
      <c r="E3" s="3" t="s">
        <v>5</v>
      </c>
      <c r="F3" s="3" t="s">
        <v>6</v>
      </c>
      <c r="G3" s="5" t="s">
        <v>7</v>
      </c>
      <c r="H3" s="6" t="s">
        <v>8</v>
      </c>
      <c r="I3" s="6" t="s">
        <v>9</v>
      </c>
      <c r="J3" s="4" t="s">
        <v>10</v>
      </c>
      <c r="K3" s="5" t="s">
        <v>11</v>
      </c>
      <c r="L3" s="7" t="s">
        <v>12</v>
      </c>
    </row>
    <row r="4" spans="1:12" ht="15" thickBot="1" x14ac:dyDescent="0.35">
      <c r="A4" s="30">
        <v>1</v>
      </c>
      <c r="B4" s="31" t="s">
        <v>13</v>
      </c>
      <c r="C4" s="31" t="s">
        <v>14</v>
      </c>
      <c r="D4" s="34" t="s">
        <v>15</v>
      </c>
      <c r="E4" s="36">
        <v>43164</v>
      </c>
      <c r="F4" s="36">
        <v>43175</v>
      </c>
      <c r="G4" s="38">
        <f>INT(F4-E4)*HLOOKUP(RIGHT(D4,2),$D$16:$H$17,2,FALSE)</f>
        <v>220000</v>
      </c>
      <c r="H4" s="39">
        <f>QUOTIENT(INT(F4-E4),7)</f>
        <v>1</v>
      </c>
      <c r="I4" s="39">
        <f>VLOOKUP(LEFT(D4,3),$A$17:$C$22,2,FALSE)</f>
        <v>140000</v>
      </c>
      <c r="J4" s="39">
        <f>MOD(INT(F4-E4),7)</f>
        <v>4</v>
      </c>
      <c r="K4" s="39">
        <f>VLOOKUP(LEFT(D4,3),$A$17:$C$22,3,FALSE)</f>
        <v>25000</v>
      </c>
      <c r="L4" s="40">
        <f>H4*I4+G4+MIN(J4*K4,I4)</f>
        <v>460000</v>
      </c>
    </row>
    <row r="5" spans="1:12" ht="15" thickBot="1" x14ac:dyDescent="0.35">
      <c r="A5" s="30">
        <v>2</v>
      </c>
      <c r="B5" s="32" t="s">
        <v>16</v>
      </c>
      <c r="C5" s="31" t="s">
        <v>17</v>
      </c>
      <c r="D5" s="34" t="s">
        <v>18</v>
      </c>
      <c r="E5" s="36">
        <v>43165</v>
      </c>
      <c r="F5" s="36">
        <v>43179</v>
      </c>
      <c r="G5" s="38">
        <f t="shared" ref="G5:G12" si="0">INT(F5-E5)*HLOOKUP(RIGHT(D5,2),$D$16:$H$17,2,FALSE)</f>
        <v>700000</v>
      </c>
      <c r="H5" s="39">
        <f t="shared" ref="H5:H13" si="1">QUOTIENT(INT(F5-E5),7)</f>
        <v>2</v>
      </c>
      <c r="I5" s="39">
        <f t="shared" ref="I5:I13" si="2">VLOOKUP(LEFT(D5,3),$A$17:$C$22,2,FALSE)</f>
        <v>210000</v>
      </c>
      <c r="J5" s="39">
        <f t="shared" ref="J5:J13" si="3">MOD(INT(F5-E5),7)</f>
        <v>0</v>
      </c>
      <c r="K5" s="39">
        <f t="shared" ref="K5:K13" si="4">VLOOKUP(LEFT(D5,3),$A$17:$C$22,3,FALSE)</f>
        <v>36000</v>
      </c>
      <c r="L5" s="40">
        <f t="shared" ref="L5:L13" si="5">H5*I5+G5+MIN(J5*K5,I5)</f>
        <v>1120000</v>
      </c>
    </row>
    <row r="6" spans="1:12" ht="15" thickBot="1" x14ac:dyDescent="0.35">
      <c r="A6" s="30">
        <v>3</v>
      </c>
      <c r="B6" s="31" t="s">
        <v>19</v>
      </c>
      <c r="C6" s="32" t="s">
        <v>20</v>
      </c>
      <c r="D6" s="34" t="s">
        <v>21</v>
      </c>
      <c r="E6" s="36">
        <v>43169</v>
      </c>
      <c r="F6" s="36">
        <v>43189</v>
      </c>
      <c r="G6" s="38">
        <f t="shared" si="0"/>
        <v>1000000</v>
      </c>
      <c r="H6" s="39">
        <f t="shared" si="1"/>
        <v>2</v>
      </c>
      <c r="I6" s="39">
        <f t="shared" si="2"/>
        <v>260000</v>
      </c>
      <c r="J6" s="39">
        <f t="shared" si="3"/>
        <v>6</v>
      </c>
      <c r="K6" s="39">
        <f t="shared" si="4"/>
        <v>45000</v>
      </c>
      <c r="L6" s="40">
        <f t="shared" si="5"/>
        <v>1780000</v>
      </c>
    </row>
    <row r="7" spans="1:12" ht="15" thickBot="1" x14ac:dyDescent="0.35">
      <c r="A7" s="30">
        <v>4</v>
      </c>
      <c r="B7" s="31" t="s">
        <v>22</v>
      </c>
      <c r="C7" s="31" t="s">
        <v>23</v>
      </c>
      <c r="D7" s="34" t="s">
        <v>24</v>
      </c>
      <c r="E7" s="36">
        <v>43174</v>
      </c>
      <c r="F7" s="36">
        <v>43191</v>
      </c>
      <c r="G7" s="38">
        <f t="shared" si="0"/>
        <v>425000</v>
      </c>
      <c r="H7" s="39">
        <f t="shared" si="1"/>
        <v>2</v>
      </c>
      <c r="I7" s="39">
        <f t="shared" si="2"/>
        <v>210000</v>
      </c>
      <c r="J7" s="39">
        <f t="shared" si="3"/>
        <v>3</v>
      </c>
      <c r="K7" s="39">
        <f t="shared" si="4"/>
        <v>36000</v>
      </c>
      <c r="L7" s="40">
        <f>H7*I7+G7+MIN(J7*K7,I7)</f>
        <v>953000</v>
      </c>
    </row>
    <row r="8" spans="1:12" ht="15" thickBot="1" x14ac:dyDescent="0.35">
      <c r="A8" s="30">
        <v>5</v>
      </c>
      <c r="B8" s="31" t="s">
        <v>25</v>
      </c>
      <c r="C8" s="31" t="s">
        <v>26</v>
      </c>
      <c r="D8" s="34" t="s">
        <v>27</v>
      </c>
      <c r="E8" s="36">
        <v>43176</v>
      </c>
      <c r="F8" s="36">
        <v>43220</v>
      </c>
      <c r="G8" s="38">
        <f t="shared" si="0"/>
        <v>2200000</v>
      </c>
      <c r="H8" s="39">
        <f t="shared" si="1"/>
        <v>6</v>
      </c>
      <c r="I8" s="39">
        <f t="shared" si="2"/>
        <v>250000</v>
      </c>
      <c r="J8" s="39">
        <f t="shared" si="3"/>
        <v>2</v>
      </c>
      <c r="K8" s="39">
        <f t="shared" si="4"/>
        <v>40000</v>
      </c>
      <c r="L8" s="40">
        <f t="shared" si="5"/>
        <v>3780000</v>
      </c>
    </row>
    <row r="9" spans="1:12" ht="15" thickBot="1" x14ac:dyDescent="0.35">
      <c r="A9" s="30">
        <v>6</v>
      </c>
      <c r="B9" s="31" t="s">
        <v>28</v>
      </c>
      <c r="C9" s="31" t="s">
        <v>29</v>
      </c>
      <c r="D9" s="34" t="s">
        <v>30</v>
      </c>
      <c r="E9" s="36">
        <v>43181</v>
      </c>
      <c r="F9" s="36">
        <v>43186</v>
      </c>
      <c r="G9" s="38">
        <f t="shared" si="0"/>
        <v>150000</v>
      </c>
      <c r="H9" s="39">
        <f t="shared" si="1"/>
        <v>0</v>
      </c>
      <c r="I9" s="39">
        <f t="shared" si="2"/>
        <v>190000</v>
      </c>
      <c r="J9" s="39">
        <f t="shared" si="3"/>
        <v>5</v>
      </c>
      <c r="K9" s="39">
        <f t="shared" si="4"/>
        <v>30000</v>
      </c>
      <c r="L9" s="40">
        <f t="shared" si="5"/>
        <v>300000</v>
      </c>
    </row>
    <row r="10" spans="1:12" ht="15" thickBot="1" x14ac:dyDescent="0.35">
      <c r="A10" s="30">
        <v>7</v>
      </c>
      <c r="B10" s="31" t="s">
        <v>31</v>
      </c>
      <c r="C10" s="31" t="s">
        <v>32</v>
      </c>
      <c r="D10" s="34" t="s">
        <v>33</v>
      </c>
      <c r="E10" s="36">
        <v>43189</v>
      </c>
      <c r="F10" s="36">
        <v>43211</v>
      </c>
      <c r="G10" s="38">
        <f t="shared" si="0"/>
        <v>440000</v>
      </c>
      <c r="H10" s="39">
        <f t="shared" si="1"/>
        <v>3</v>
      </c>
      <c r="I10" s="39">
        <f t="shared" si="2"/>
        <v>260000</v>
      </c>
      <c r="J10" s="39">
        <f t="shared" si="3"/>
        <v>1</v>
      </c>
      <c r="K10" s="39">
        <f t="shared" si="4"/>
        <v>45000</v>
      </c>
      <c r="L10" s="40">
        <f t="shared" si="5"/>
        <v>1265000</v>
      </c>
    </row>
    <row r="11" spans="1:12" ht="15" thickBot="1" x14ac:dyDescent="0.35">
      <c r="A11" s="30">
        <v>8</v>
      </c>
      <c r="B11" s="32" t="s">
        <v>34</v>
      </c>
      <c r="C11" s="31" t="s">
        <v>35</v>
      </c>
      <c r="D11" s="34" t="s">
        <v>36</v>
      </c>
      <c r="E11" s="36">
        <v>43193</v>
      </c>
      <c r="F11" s="36">
        <v>43211</v>
      </c>
      <c r="G11" s="38">
        <f t="shared" si="0"/>
        <v>360000</v>
      </c>
      <c r="H11" s="39">
        <f t="shared" si="1"/>
        <v>2</v>
      </c>
      <c r="I11" s="39">
        <f t="shared" si="2"/>
        <v>130000</v>
      </c>
      <c r="J11" s="39">
        <f t="shared" si="3"/>
        <v>4</v>
      </c>
      <c r="K11" s="39">
        <f t="shared" si="4"/>
        <v>20000</v>
      </c>
      <c r="L11" s="40">
        <f t="shared" si="5"/>
        <v>700000</v>
      </c>
    </row>
    <row r="12" spans="1:12" ht="15" thickBot="1" x14ac:dyDescent="0.35">
      <c r="A12" s="30">
        <v>9</v>
      </c>
      <c r="B12" s="31" t="s">
        <v>37</v>
      </c>
      <c r="C12" s="31" t="s">
        <v>38</v>
      </c>
      <c r="D12" s="34" t="s">
        <v>39</v>
      </c>
      <c r="E12" s="36">
        <v>43195</v>
      </c>
      <c r="F12" s="36">
        <v>43232</v>
      </c>
      <c r="G12" s="38">
        <f t="shared" si="0"/>
        <v>925000</v>
      </c>
      <c r="H12" s="39">
        <f t="shared" si="1"/>
        <v>5</v>
      </c>
      <c r="I12" s="39">
        <f t="shared" si="2"/>
        <v>130000</v>
      </c>
      <c r="J12" s="39">
        <f t="shared" si="3"/>
        <v>2</v>
      </c>
      <c r="K12" s="39">
        <f t="shared" si="4"/>
        <v>20000</v>
      </c>
      <c r="L12" s="40">
        <f t="shared" si="5"/>
        <v>1615000</v>
      </c>
    </row>
    <row r="13" spans="1:12" ht="15" thickBot="1" x14ac:dyDescent="0.35">
      <c r="A13" s="30">
        <v>10</v>
      </c>
      <c r="B13" s="33" t="s">
        <v>40</v>
      </c>
      <c r="C13" s="33" t="s">
        <v>41</v>
      </c>
      <c r="D13" s="35" t="s">
        <v>42</v>
      </c>
      <c r="E13" s="37">
        <v>43202</v>
      </c>
      <c r="F13" s="36">
        <v>43217</v>
      </c>
      <c r="G13" s="38">
        <f>INT(F13-E13)*HLOOKUP(RIGHT(D13,2),$D$16:$H$17,2,FALSE)</f>
        <v>600000</v>
      </c>
      <c r="H13" s="39">
        <f t="shared" si="1"/>
        <v>2</v>
      </c>
      <c r="I13" s="39">
        <f t="shared" si="2"/>
        <v>250000</v>
      </c>
      <c r="J13" s="39">
        <f t="shared" si="3"/>
        <v>1</v>
      </c>
      <c r="K13" s="39">
        <f t="shared" si="4"/>
        <v>40000</v>
      </c>
      <c r="L13" s="40">
        <f t="shared" si="5"/>
        <v>1140000</v>
      </c>
    </row>
    <row r="14" spans="1:12" x14ac:dyDescent="0.3">
      <c r="B14" s="8"/>
      <c r="C14" s="8"/>
    </row>
    <row r="15" spans="1:12" ht="15" thickBot="1" x14ac:dyDescent="0.35">
      <c r="A15" s="27" t="s">
        <v>43</v>
      </c>
      <c r="B15" s="27"/>
      <c r="C15" s="27"/>
      <c r="D15" s="27" t="s">
        <v>44</v>
      </c>
      <c r="E15" s="27"/>
      <c r="F15" s="27"/>
      <c r="G15" s="27"/>
      <c r="H15" s="27"/>
    </row>
    <row r="16" spans="1:12" ht="28.8" thickTop="1" thickBot="1" x14ac:dyDescent="0.35">
      <c r="A16" s="9" t="s">
        <v>45</v>
      </c>
      <c r="B16" s="10" t="s">
        <v>9</v>
      </c>
      <c r="C16" s="10" t="s">
        <v>11</v>
      </c>
      <c r="D16" s="14" t="s">
        <v>52</v>
      </c>
      <c r="E16" s="15" t="s">
        <v>53</v>
      </c>
      <c r="F16" s="15" t="s">
        <v>54</v>
      </c>
      <c r="G16" s="15" t="s">
        <v>55</v>
      </c>
      <c r="H16" s="15" t="s">
        <v>56</v>
      </c>
    </row>
    <row r="17" spans="1:8" ht="15.6" thickTop="1" thickBot="1" x14ac:dyDescent="0.35">
      <c r="A17" s="11" t="s">
        <v>46</v>
      </c>
      <c r="B17" s="12">
        <v>260000</v>
      </c>
      <c r="C17" s="13">
        <v>45000</v>
      </c>
      <c r="D17" s="16">
        <v>20000</v>
      </c>
      <c r="E17" s="17">
        <v>25000</v>
      </c>
      <c r="F17" s="17">
        <v>30000</v>
      </c>
      <c r="G17" s="12">
        <v>40000</v>
      </c>
      <c r="H17" s="12">
        <v>50000</v>
      </c>
    </row>
    <row r="18" spans="1:8" ht="15.6" thickTop="1" thickBot="1" x14ac:dyDescent="0.35">
      <c r="A18" s="11" t="s">
        <v>47</v>
      </c>
      <c r="B18" s="12">
        <v>250000</v>
      </c>
      <c r="C18" s="13">
        <v>40000</v>
      </c>
      <c r="D18" s="28"/>
      <c r="E18" s="29"/>
      <c r="F18" s="29"/>
      <c r="G18" s="29"/>
      <c r="H18" s="29"/>
    </row>
    <row r="19" spans="1:8" ht="15.6" thickTop="1" thickBot="1" x14ac:dyDescent="0.35">
      <c r="A19" s="11" t="s">
        <v>48</v>
      </c>
      <c r="B19" s="12">
        <v>210000</v>
      </c>
      <c r="C19" s="13">
        <v>36000</v>
      </c>
      <c r="D19" s="25"/>
      <c r="E19" s="26"/>
      <c r="F19" s="26"/>
      <c r="G19" s="26"/>
      <c r="H19" s="26"/>
    </row>
    <row r="20" spans="1:8" ht="15.6" thickTop="1" thickBot="1" x14ac:dyDescent="0.35">
      <c r="A20" s="11" t="s">
        <v>49</v>
      </c>
      <c r="B20" s="12">
        <v>190000</v>
      </c>
      <c r="C20" s="13">
        <v>30000</v>
      </c>
      <c r="D20" s="25"/>
      <c r="E20" s="26"/>
      <c r="F20" s="26"/>
      <c r="G20" s="26"/>
      <c r="H20" s="26"/>
    </row>
    <row r="21" spans="1:8" ht="15.6" thickTop="1" thickBot="1" x14ac:dyDescent="0.35">
      <c r="A21" s="11" t="s">
        <v>50</v>
      </c>
      <c r="B21" s="12">
        <v>140000</v>
      </c>
      <c r="C21" s="13">
        <v>25000</v>
      </c>
      <c r="D21" s="25"/>
      <c r="E21" s="26"/>
      <c r="F21" s="26"/>
      <c r="G21" s="26"/>
      <c r="H21" s="26"/>
    </row>
    <row r="22" spans="1:8" ht="15.6" thickTop="1" thickBot="1" x14ac:dyDescent="0.35">
      <c r="A22" s="11" t="s">
        <v>51</v>
      </c>
      <c r="B22" s="12">
        <v>130000</v>
      </c>
      <c r="C22" s="13">
        <v>20000</v>
      </c>
      <c r="D22" s="25"/>
      <c r="E22" s="26"/>
      <c r="F22" s="26"/>
      <c r="G22" s="26"/>
      <c r="H22" s="26"/>
    </row>
    <row r="23" spans="1:8" ht="15" thickTop="1" x14ac:dyDescent="0.3">
      <c r="A23" s="18" t="s">
        <v>57</v>
      </c>
    </row>
    <row r="24" spans="1:8" x14ac:dyDescent="0.3">
      <c r="A24" s="8" t="s">
        <v>58</v>
      </c>
    </row>
    <row r="25" spans="1:8" x14ac:dyDescent="0.3">
      <c r="A25" s="8" t="s">
        <v>59</v>
      </c>
    </row>
    <row r="26" spans="1:8" x14ac:dyDescent="0.3">
      <c r="A26" s="8" t="s">
        <v>60</v>
      </c>
    </row>
    <row r="27" spans="1:8" x14ac:dyDescent="0.3">
      <c r="A27" s="8" t="s">
        <v>61</v>
      </c>
    </row>
    <row r="28" spans="1:8" x14ac:dyDescent="0.3">
      <c r="A28" s="19" t="s">
        <v>62</v>
      </c>
    </row>
    <row r="29" spans="1:8" x14ac:dyDescent="0.3">
      <c r="A29" s="8" t="s">
        <v>63</v>
      </c>
    </row>
    <row r="30" spans="1:8" x14ac:dyDescent="0.3">
      <c r="A30" s="1" t="s">
        <v>64</v>
      </c>
    </row>
    <row r="31" spans="1:8" x14ac:dyDescent="0.3">
      <c r="A31" s="8" t="s">
        <v>65</v>
      </c>
    </row>
    <row r="32" spans="1:8" x14ac:dyDescent="0.3">
      <c r="A32" s="8" t="s">
        <v>66</v>
      </c>
    </row>
    <row r="33" spans="1:7" ht="15" thickBot="1" x14ac:dyDescent="0.35">
      <c r="A33" s="8" t="s">
        <v>67</v>
      </c>
    </row>
    <row r="34" spans="1:7" ht="27" thickBot="1" x14ac:dyDescent="0.35">
      <c r="A34" s="20" t="s">
        <v>68</v>
      </c>
      <c r="B34" s="21" t="s">
        <v>46</v>
      </c>
      <c r="C34" s="21" t="s">
        <v>47</v>
      </c>
      <c r="D34" s="22" t="s">
        <v>48</v>
      </c>
      <c r="E34" s="22" t="s">
        <v>49</v>
      </c>
      <c r="F34" s="21" t="s">
        <v>50</v>
      </c>
      <c r="G34" s="21" t="s">
        <v>51</v>
      </c>
    </row>
    <row r="35" spans="1:7" ht="48.6" customHeight="1" thickBot="1" x14ac:dyDescent="0.35">
      <c r="A35" s="42" t="s">
        <v>73</v>
      </c>
      <c r="B35" s="43">
        <f>SUMIF($D$4:$D$13,"L1A*",$L$4:$L$13)</f>
        <v>3045000</v>
      </c>
      <c r="C35" s="43">
        <f>SUMIF($D$4:$D$13,"L1B*",$L$4:$L$13)</f>
        <v>4920000</v>
      </c>
      <c r="D35" s="43">
        <f>SUMIF($D$4:$D$13,"L2A*",$L$4:$L$13)</f>
        <v>2073000</v>
      </c>
      <c r="E35" s="43">
        <f>SUMIF($D$4:$D$13,"L2B*",$L$4:$L$13)</f>
        <v>300000</v>
      </c>
      <c r="F35" s="43">
        <f>SUMIF($D$4:$D$13,"L3A*",$L$4:$L$13)</f>
        <v>460000</v>
      </c>
      <c r="G35" s="43">
        <f>SUMIF($D$4:$D$13,"L3B*",$L$4:$L$13)</f>
        <v>2315000</v>
      </c>
    </row>
    <row r="36" spans="1:7" ht="27" thickBot="1" x14ac:dyDescent="0.35">
      <c r="A36" s="23" t="s">
        <v>69</v>
      </c>
      <c r="B36" s="41">
        <f>B35/SUM($B$35:$G$35)</f>
        <v>0.23221230839624799</v>
      </c>
      <c r="C36" s="41">
        <f>C35/SUM($B$35:$G$35)</f>
        <v>0.37520018302447955</v>
      </c>
      <c r="D36" s="41">
        <f>D35/SUM($B$35:$G$35)</f>
        <v>0.15808739418897277</v>
      </c>
      <c r="E36" s="41">
        <f>E35/SUM($B$35:$G$35)</f>
        <v>2.2878059940517045E-2</v>
      </c>
      <c r="F36" s="41">
        <f>F35/SUM($B$35:$G$35)</f>
        <v>3.5079691908792801E-2</v>
      </c>
      <c r="G36" s="41">
        <f>G35/SUM($B$35:$G$35)</f>
        <v>0.17654236254098984</v>
      </c>
    </row>
    <row r="37" spans="1:7" x14ac:dyDescent="0.3">
      <c r="A37" s="8" t="s">
        <v>70</v>
      </c>
    </row>
    <row r="38" spans="1:7" x14ac:dyDescent="0.3">
      <c r="A38" s="8" t="s">
        <v>71</v>
      </c>
    </row>
  </sheetData>
  <mergeCells count="8">
    <mergeCell ref="A2:L2"/>
    <mergeCell ref="D22:H22"/>
    <mergeCell ref="A15:C15"/>
    <mergeCell ref="D15:H15"/>
    <mergeCell ref="D18:H18"/>
    <mergeCell ref="D19:H19"/>
    <mergeCell ref="D20:H20"/>
    <mergeCell ref="D21:H21"/>
  </mergeCells>
  <phoneticPr fontId="7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Ngoc Minh</dc:creator>
  <cp:lastModifiedBy>Ngoc Minh</cp:lastModifiedBy>
  <dcterms:created xsi:type="dcterms:W3CDTF">2025-11-03T17:42:41Z</dcterms:created>
  <dcterms:modified xsi:type="dcterms:W3CDTF">2025-11-04T14:21:35Z</dcterms:modified>
</cp:coreProperties>
</file>