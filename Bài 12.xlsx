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21A20E9-3D86-4B7E-8C6D-BE1CE9B4A1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31" i="1"/>
  <c r="B32" i="1"/>
  <c r="B31" i="1"/>
  <c r="K6" i="1"/>
  <c r="K7" i="1"/>
  <c r="K8" i="1"/>
  <c r="K9" i="1"/>
  <c r="K10" i="1"/>
  <c r="K11" i="1"/>
  <c r="K12" i="1"/>
  <c r="K13" i="1"/>
  <c r="K14" i="1"/>
  <c r="K5" i="1"/>
  <c r="G6" i="1"/>
  <c r="G7" i="1"/>
  <c r="G8" i="1"/>
  <c r="G9" i="1"/>
  <c r="G10" i="1"/>
  <c r="G11" i="1"/>
  <c r="G12" i="1"/>
  <c r="G13" i="1"/>
  <c r="G14" i="1"/>
  <c r="G5" i="1"/>
  <c r="E5" i="1"/>
  <c r="I5" i="1" s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D6" i="1"/>
  <c r="D7" i="1"/>
  <c r="D8" i="1"/>
  <c r="D9" i="1"/>
  <c r="D10" i="1"/>
  <c r="D11" i="1"/>
  <c r="D12" i="1"/>
  <c r="D13" i="1"/>
  <c r="D14" i="1"/>
  <c r="D5" i="1"/>
</calcChain>
</file>

<file path=xl/sharedStrings.xml><?xml version="1.0" encoding="utf-8"?>
<sst xmlns="http://schemas.openxmlformats.org/spreadsheetml/2006/main" count="51" uniqueCount="42">
  <si>
    <t>BÀI 12</t>
  </si>
  <si>
    <t>THỐNG KÊ DỊCH VỤ VISA</t>
  </si>
  <si>
    <t>TT</t>
  </si>
  <si>
    <t>MÃ</t>
  </si>
  <si>
    <t>LOẠI KHÁCH</t>
  </si>
  <si>
    <t>TÊN NƯỚC</t>
  </si>
  <si>
    <t>LOẠI VISA</t>
  </si>
  <si>
    <t>ĐƠN GIÁ</t>
  </si>
  <si>
    <t>GIẢM</t>
  </si>
  <si>
    <t>HQ-DL-D</t>
  </si>
  <si>
    <t>HQ-LV-L</t>
  </si>
  <si>
    <t>NB-LV-L</t>
  </si>
  <si>
    <t>TQ-DL-D</t>
  </si>
  <si>
    <t>TQ-LV-L</t>
  </si>
  <si>
    <t>HQ-DL-L</t>
  </si>
  <si>
    <t>NB-DL-D</t>
  </si>
  <si>
    <t>BẢNG TIÊU CHUẨN 1</t>
  </si>
  <si>
    <t>D</t>
  </si>
  <si>
    <t>Đoàn</t>
  </si>
  <si>
    <t>L</t>
  </si>
  <si>
    <t>Lẻ</t>
  </si>
  <si>
    <t>BẢNG TIÊU CHUẨN 2</t>
  </si>
  <si>
    <t>HQ</t>
  </si>
  <si>
    <t>TQ</t>
  </si>
  <si>
    <t>NB</t>
  </si>
  <si>
    <t>HÀN QUỐC</t>
  </si>
  <si>
    <t>Du lịch</t>
  </si>
  <si>
    <t>Làm việc</t>
  </si>
  <si>
    <t>YÊU CẦU:</t>
  </si>
  <si>
    <r>
      <t>1.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Times New Roman"/>
        <family val="1"/>
      </rPr>
      <t>Điền thông tin cột LOẠI KHÁCH, TÊN NƯỚC, LOẠI VISA dựa vào thông tin các bảng phụ.</t>
    </r>
  </si>
  <si>
    <r>
      <t>2.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Times New Roman"/>
        <family val="1"/>
      </rPr>
      <t>Điền cột ĐƠN GIÁ dựa vào thông tin BẢNG TIÊU CHUẨN 2.</t>
    </r>
  </si>
  <si>
    <r>
      <t>3.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Times New Roman"/>
        <family val="1"/>
      </rPr>
      <t>Điền thông tin cột GIẢM và tính THÀNH TIỀN = SỐ LƯỢNG * ĐƠN GIÁ - GIẢM</t>
    </r>
  </si>
  <si>
    <r>
      <t>4.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Times New Roman"/>
        <family val="1"/>
      </rPr>
      <t>Điền thông tin bảng sau (dùng hàm):</t>
    </r>
  </si>
  <si>
    <t>BẢNG TỔNG HỢP 2</t>
  </si>
  <si>
    <t>Hàn Quốc</t>
  </si>
  <si>
    <t>Loại Visa</t>
  </si>
  <si>
    <t>Số lượt</t>
  </si>
  <si>
    <t>Thành tiền</t>
  </si>
  <si>
    <t xml:space="preserve">TRUNG QUỐC </t>
  </si>
  <si>
    <t xml:space="preserve">NHẬT BẢN </t>
  </si>
  <si>
    <t>THÀNH TIỀN</t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</si>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</sst>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6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9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1" fillId="0" borderId="9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C33" sqref="C33"/>
    </sheetView>
  </sheetViews>
  <sheetFormatPr defaultRowHeight="14.4" x14ac:dyDescent="0.3"/>
  <cols>
    <col min="3" max="3" width="11" customWidth="1"/>
    <col min="7" max="7" width="16.21875" customWidth="1"/>
    <col min="8" max="8" width="13.88671875" customWidth="1"/>
  </cols>
  <sheetData>
    <row r="1" spans="1:12" ht="16.8" x14ac:dyDescent="0.3">
      <c r="A1" s="1" t="s">
        <v>0</v>
      </c>
    </row>
    <row r="2" spans="1:12" ht="21" thickBot="1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15.6" customHeight="1" x14ac:dyDescent="0.3">
      <c r="A3" s="44" t="s">
        <v>2</v>
      </c>
      <c r="B3" s="45"/>
      <c r="C3" s="37" t="s">
        <v>3</v>
      </c>
      <c r="D3" s="37" t="s">
        <v>4</v>
      </c>
      <c r="E3" s="25" t="s">
        <v>5</v>
      </c>
      <c r="F3" s="26"/>
      <c r="G3" s="37" t="s">
        <v>6</v>
      </c>
      <c r="H3" s="37" t="s">
        <v>41</v>
      </c>
      <c r="I3" s="35" t="s">
        <v>7</v>
      </c>
      <c r="J3" s="37" t="s">
        <v>8</v>
      </c>
      <c r="K3" s="25" t="s">
        <v>40</v>
      </c>
      <c r="L3" s="26"/>
    </row>
    <row r="4" spans="1:12" ht="15" thickBot="1" x14ac:dyDescent="0.35">
      <c r="A4" s="46"/>
      <c r="B4" s="47"/>
      <c r="C4" s="38"/>
      <c r="D4" s="38"/>
      <c r="E4" s="27"/>
      <c r="F4" s="28"/>
      <c r="G4" s="38"/>
      <c r="H4" s="38"/>
      <c r="I4" s="36"/>
      <c r="J4" s="38"/>
      <c r="K4" s="27"/>
      <c r="L4" s="28"/>
    </row>
    <row r="5" spans="1:12" ht="17.399999999999999" thickBot="1" x14ac:dyDescent="0.35">
      <c r="A5" s="31">
        <v>1</v>
      </c>
      <c r="B5" s="32"/>
      <c r="C5" s="2" t="s">
        <v>9</v>
      </c>
      <c r="D5" s="3" t="str">
        <f>VLOOKUP(RIGHT(C5,1),$B$17:$C$19,2,FALSE)</f>
        <v>Đoàn</v>
      </c>
      <c r="E5" s="33" t="str">
        <f>HLOOKUP(LEFT(C5,2), $F$17:$I$21, 2,FALSE)</f>
        <v>HÀN QUỐC</v>
      </c>
      <c r="F5" s="34"/>
      <c r="G5" s="3" t="str">
        <f>IF(MID(C5,4,2)="DL", "Du lịch", "Làm việc")</f>
        <v>Du lịch</v>
      </c>
      <c r="H5" s="4">
        <v>20</v>
      </c>
      <c r="I5" s="3">
        <f>VLOOKUP(G5,$F$17:$I$21,IF(E5="HÀN QUỐC",2,IF(E5="TRUNG QUỐC",3,4)),FALSE)</f>
        <v>30</v>
      </c>
      <c r="J5" s="3">
        <v>200</v>
      </c>
      <c r="K5" s="33">
        <f>H5*I5-J5</f>
        <v>400</v>
      </c>
      <c r="L5" s="34"/>
    </row>
    <row r="6" spans="1:12" ht="17.399999999999999" thickBot="1" x14ac:dyDescent="0.35">
      <c r="A6" s="31">
        <v>2</v>
      </c>
      <c r="B6" s="32"/>
      <c r="C6" s="2" t="s">
        <v>10</v>
      </c>
      <c r="D6" s="3" t="str">
        <f t="shared" ref="D6:D14" si="0">VLOOKUP(RIGHT(C6,1),$B$17:$C$19,2,FALSE)</f>
        <v>Lẻ</v>
      </c>
      <c r="E6" s="33" t="str">
        <f t="shared" ref="E6:E14" si="1">HLOOKUP(LEFT(C6,2), $F$17:$I$21, 2,FALSE)</f>
        <v>HÀN QUỐC</v>
      </c>
      <c r="F6" s="34"/>
      <c r="G6" s="3" t="str">
        <f t="shared" ref="G6:G14" si="2">IF(MID(C6,4,2)="DL", "Du lịch", "Làm việc")</f>
        <v>Làm việc</v>
      </c>
      <c r="H6" s="4">
        <v>30</v>
      </c>
      <c r="I6" s="3">
        <f t="shared" ref="I6:I14" si="3">VLOOKUP(G6,$F$17:$I$21,IF(E6="HÀN QUỐC",2,IF(E6="TRUNG QUỐC",3,4)),FALSE)</f>
        <v>50</v>
      </c>
      <c r="J6" s="3">
        <v>500</v>
      </c>
      <c r="K6" s="33">
        <f t="shared" ref="K6:K14" si="4">H6*I6-J6</f>
        <v>1000</v>
      </c>
      <c r="L6" s="34"/>
    </row>
    <row r="7" spans="1:12" ht="17.399999999999999" thickBot="1" x14ac:dyDescent="0.35">
      <c r="A7" s="31">
        <v>3</v>
      </c>
      <c r="B7" s="32"/>
      <c r="C7" s="2" t="s">
        <v>11</v>
      </c>
      <c r="D7" s="3" t="str">
        <f t="shared" si="0"/>
        <v>Lẻ</v>
      </c>
      <c r="E7" s="33" t="str">
        <f t="shared" si="1"/>
        <v xml:space="preserve">NHẬT BẢN </v>
      </c>
      <c r="F7" s="34"/>
      <c r="G7" s="3" t="str">
        <f t="shared" si="2"/>
        <v>Làm việc</v>
      </c>
      <c r="H7" s="4">
        <v>5</v>
      </c>
      <c r="I7" s="3">
        <f t="shared" si="3"/>
        <v>90</v>
      </c>
      <c r="J7" s="3">
        <v>100</v>
      </c>
      <c r="K7" s="33">
        <f t="shared" si="4"/>
        <v>350</v>
      </c>
      <c r="L7" s="34"/>
    </row>
    <row r="8" spans="1:12" ht="17.399999999999999" thickBot="1" x14ac:dyDescent="0.35">
      <c r="A8" s="31">
        <v>4</v>
      </c>
      <c r="B8" s="32"/>
      <c r="C8" s="2" t="s">
        <v>12</v>
      </c>
      <c r="D8" s="3" t="str">
        <f t="shared" si="0"/>
        <v>Đoàn</v>
      </c>
      <c r="E8" s="33" t="str">
        <f t="shared" si="1"/>
        <v xml:space="preserve">TRUNG QUỐC </v>
      </c>
      <c r="F8" s="34"/>
      <c r="G8" s="3" t="str">
        <f t="shared" si="2"/>
        <v>Du lịch</v>
      </c>
      <c r="H8" s="4">
        <v>45</v>
      </c>
      <c r="I8" s="3">
        <f t="shared" si="3"/>
        <v>60</v>
      </c>
      <c r="J8" s="3">
        <v>400</v>
      </c>
      <c r="K8" s="33">
        <f t="shared" si="4"/>
        <v>2300</v>
      </c>
      <c r="L8" s="34"/>
    </row>
    <row r="9" spans="1:12" ht="17.399999999999999" thickBot="1" x14ac:dyDescent="0.35">
      <c r="A9" s="31">
        <v>5</v>
      </c>
      <c r="B9" s="32"/>
      <c r="C9" s="2" t="s">
        <v>13</v>
      </c>
      <c r="D9" s="3" t="str">
        <f t="shared" si="0"/>
        <v>Lẻ</v>
      </c>
      <c r="E9" s="33" t="str">
        <f t="shared" si="1"/>
        <v xml:space="preserve">TRUNG QUỐC </v>
      </c>
      <c r="F9" s="34"/>
      <c r="G9" s="3" t="str">
        <f t="shared" si="2"/>
        <v>Làm việc</v>
      </c>
      <c r="H9" s="4">
        <v>34</v>
      </c>
      <c r="I9" s="3">
        <f t="shared" si="3"/>
        <v>90</v>
      </c>
      <c r="J9" s="3">
        <v>900</v>
      </c>
      <c r="K9" s="33">
        <f t="shared" si="4"/>
        <v>2160</v>
      </c>
      <c r="L9" s="34"/>
    </row>
    <row r="10" spans="1:12" ht="17.399999999999999" thickBot="1" x14ac:dyDescent="0.35">
      <c r="A10" s="31">
        <v>6</v>
      </c>
      <c r="B10" s="32"/>
      <c r="C10" s="2" t="s">
        <v>14</v>
      </c>
      <c r="D10" s="3" t="str">
        <f t="shared" si="0"/>
        <v>Lẻ</v>
      </c>
      <c r="E10" s="33" t="str">
        <f t="shared" si="1"/>
        <v>HÀN QUỐC</v>
      </c>
      <c r="F10" s="34"/>
      <c r="G10" s="3" t="str">
        <f t="shared" si="2"/>
        <v>Du lịch</v>
      </c>
      <c r="H10" s="4">
        <v>30</v>
      </c>
      <c r="I10" s="3">
        <f t="shared" si="3"/>
        <v>30</v>
      </c>
      <c r="J10" s="3">
        <v>150</v>
      </c>
      <c r="K10" s="33">
        <f t="shared" si="4"/>
        <v>750</v>
      </c>
      <c r="L10" s="34"/>
    </row>
    <row r="11" spans="1:12" ht="17.399999999999999" thickBot="1" x14ac:dyDescent="0.35">
      <c r="A11" s="31">
        <v>7</v>
      </c>
      <c r="B11" s="32"/>
      <c r="C11" s="2" t="s">
        <v>11</v>
      </c>
      <c r="D11" s="3" t="str">
        <f t="shared" si="0"/>
        <v>Lẻ</v>
      </c>
      <c r="E11" s="33" t="str">
        <f t="shared" si="1"/>
        <v xml:space="preserve">NHẬT BẢN </v>
      </c>
      <c r="F11" s="34"/>
      <c r="G11" s="3" t="str">
        <f t="shared" si="2"/>
        <v>Làm việc</v>
      </c>
      <c r="H11" s="4">
        <v>20</v>
      </c>
      <c r="I11" s="3">
        <f t="shared" si="3"/>
        <v>90</v>
      </c>
      <c r="J11" s="3">
        <v>250</v>
      </c>
      <c r="K11" s="33">
        <f t="shared" si="4"/>
        <v>1550</v>
      </c>
      <c r="L11" s="34"/>
    </row>
    <row r="12" spans="1:12" ht="17.399999999999999" thickBot="1" x14ac:dyDescent="0.35">
      <c r="A12" s="31">
        <v>8</v>
      </c>
      <c r="B12" s="32"/>
      <c r="C12" s="2" t="s">
        <v>15</v>
      </c>
      <c r="D12" s="3" t="str">
        <f t="shared" si="0"/>
        <v>Đoàn</v>
      </c>
      <c r="E12" s="33" t="str">
        <f t="shared" si="1"/>
        <v xml:space="preserve">NHẬT BẢN </v>
      </c>
      <c r="F12" s="34"/>
      <c r="G12" s="3" t="str">
        <f t="shared" si="2"/>
        <v>Du lịch</v>
      </c>
      <c r="H12" s="4">
        <v>25</v>
      </c>
      <c r="I12" s="3">
        <f t="shared" si="3"/>
        <v>60</v>
      </c>
      <c r="J12" s="3">
        <v>600</v>
      </c>
      <c r="K12" s="33">
        <f t="shared" si="4"/>
        <v>900</v>
      </c>
      <c r="L12" s="34"/>
    </row>
    <row r="13" spans="1:12" ht="17.399999999999999" thickBot="1" x14ac:dyDescent="0.35">
      <c r="A13" s="31">
        <v>9</v>
      </c>
      <c r="B13" s="32"/>
      <c r="C13" s="2" t="s">
        <v>10</v>
      </c>
      <c r="D13" s="3" t="str">
        <f t="shared" si="0"/>
        <v>Lẻ</v>
      </c>
      <c r="E13" s="33" t="str">
        <f t="shared" si="1"/>
        <v>HÀN QUỐC</v>
      </c>
      <c r="F13" s="34"/>
      <c r="G13" s="3" t="str">
        <f t="shared" si="2"/>
        <v>Làm việc</v>
      </c>
      <c r="H13" s="4">
        <v>30</v>
      </c>
      <c r="I13" s="3">
        <f t="shared" si="3"/>
        <v>50</v>
      </c>
      <c r="J13" s="3">
        <v>300</v>
      </c>
      <c r="K13" s="33">
        <f t="shared" si="4"/>
        <v>1200</v>
      </c>
      <c r="L13" s="34"/>
    </row>
    <row r="14" spans="1:12" ht="17.399999999999999" thickBot="1" x14ac:dyDescent="0.35">
      <c r="A14" s="31">
        <v>10</v>
      </c>
      <c r="B14" s="32"/>
      <c r="C14" s="2" t="s">
        <v>15</v>
      </c>
      <c r="D14" s="3" t="str">
        <f t="shared" si="0"/>
        <v>Đoàn</v>
      </c>
      <c r="E14" s="33" t="str">
        <f t="shared" si="1"/>
        <v xml:space="preserve">NHẬT BẢN </v>
      </c>
      <c r="F14" s="34"/>
      <c r="G14" s="3" t="str">
        <f t="shared" si="2"/>
        <v>Du lịch</v>
      </c>
      <c r="H14" s="4">
        <v>25</v>
      </c>
      <c r="I14" s="3">
        <f t="shared" si="3"/>
        <v>60</v>
      </c>
      <c r="J14" s="3">
        <v>700</v>
      </c>
      <c r="K14" s="33">
        <f t="shared" si="4"/>
        <v>800</v>
      </c>
      <c r="L14" s="34"/>
    </row>
    <row r="15" spans="1:12" ht="17.399999999999999" thickBot="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 ht="31.2" customHeight="1" thickBot="1" x14ac:dyDescent="0.35">
      <c r="A16" s="30"/>
      <c r="B16" s="39" t="s">
        <v>16</v>
      </c>
      <c r="C16" s="40"/>
      <c r="F16" s="22" t="s">
        <v>21</v>
      </c>
      <c r="G16" s="23"/>
      <c r="H16" s="23"/>
      <c r="I16" s="24"/>
      <c r="L16" s="30"/>
    </row>
    <row r="17" spans="1:12" ht="31.8" thickBot="1" x14ac:dyDescent="0.35">
      <c r="A17" s="30"/>
      <c r="B17" s="5" t="s">
        <v>3</v>
      </c>
      <c r="C17" s="6" t="s">
        <v>4</v>
      </c>
      <c r="F17" s="14" t="s">
        <v>3</v>
      </c>
      <c r="G17" s="13" t="s">
        <v>22</v>
      </c>
      <c r="H17" s="13" t="s">
        <v>23</v>
      </c>
      <c r="I17" s="13" t="s">
        <v>24</v>
      </c>
      <c r="L17" s="30"/>
    </row>
    <row r="18" spans="1:12" ht="16.2" customHeight="1" thickBot="1" x14ac:dyDescent="0.35">
      <c r="A18" s="30"/>
      <c r="B18" s="7" t="s">
        <v>17</v>
      </c>
      <c r="C18" s="2" t="s">
        <v>18</v>
      </c>
      <c r="F18" s="41" t="s">
        <v>5</v>
      </c>
      <c r="G18" s="43" t="s">
        <v>25</v>
      </c>
      <c r="H18" s="20" t="s">
        <v>38</v>
      </c>
      <c r="I18" s="20" t="s">
        <v>39</v>
      </c>
      <c r="L18" s="30"/>
    </row>
    <row r="19" spans="1:12" ht="16.2" thickBot="1" x14ac:dyDescent="0.35">
      <c r="A19" s="30"/>
      <c r="B19" s="7" t="s">
        <v>19</v>
      </c>
      <c r="C19" s="2" t="s">
        <v>20</v>
      </c>
      <c r="F19" s="42"/>
      <c r="G19" s="43"/>
      <c r="H19" s="21"/>
      <c r="I19" s="21"/>
      <c r="L19" s="30"/>
    </row>
    <row r="20" spans="1:12" ht="17.399999999999999" thickBot="1" x14ac:dyDescent="0.35">
      <c r="A20" s="30"/>
      <c r="B20" s="8"/>
      <c r="C20" s="8"/>
      <c r="D20" s="8"/>
      <c r="F20" s="14" t="s">
        <v>26</v>
      </c>
      <c r="G20" s="15">
        <v>30</v>
      </c>
      <c r="H20" s="15">
        <v>40</v>
      </c>
      <c r="I20" s="15">
        <v>60</v>
      </c>
      <c r="L20" s="30"/>
    </row>
    <row r="21" spans="1:12" ht="31.8" thickBot="1" x14ac:dyDescent="0.35">
      <c r="A21" s="30"/>
      <c r="B21" s="8"/>
      <c r="C21" s="8"/>
      <c r="D21" s="8"/>
      <c r="F21" s="14" t="s">
        <v>27</v>
      </c>
      <c r="G21" s="15">
        <v>50</v>
      </c>
      <c r="H21" s="15">
        <v>80</v>
      </c>
      <c r="I21" s="15">
        <v>90</v>
      </c>
      <c r="L21" s="30"/>
    </row>
    <row r="22" spans="1:12" ht="15.6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15.6" x14ac:dyDescent="0.3">
      <c r="A23" s="10" t="s">
        <v>28</v>
      </c>
    </row>
    <row r="24" spans="1:12" ht="16.8" x14ac:dyDescent="0.3">
      <c r="A24" s="11" t="s">
        <v>29</v>
      </c>
    </row>
    <row r="25" spans="1:12" ht="16.8" x14ac:dyDescent="0.3">
      <c r="A25" s="11" t="s">
        <v>30</v>
      </c>
    </row>
    <row r="26" spans="1:12" ht="16.8" x14ac:dyDescent="0.3">
      <c r="A26" s="11" t="s">
        <v>31</v>
      </c>
    </row>
    <row r="27" spans="1:12" ht="17.399999999999999" thickBot="1" x14ac:dyDescent="0.35">
      <c r="A27" s="11" t="s">
        <v>32</v>
      </c>
    </row>
    <row r="28" spans="1:12" ht="16.2" thickBot="1" x14ac:dyDescent="0.35">
      <c r="A28" s="16" t="s">
        <v>33</v>
      </c>
      <c r="B28" s="17"/>
      <c r="C28" s="18"/>
    </row>
    <row r="29" spans="1:12" ht="16.2" thickBot="1" x14ac:dyDescent="0.35">
      <c r="A29" s="16" t="s">
        <v>34</v>
      </c>
      <c r="B29" s="17"/>
      <c r="C29" s="18"/>
    </row>
    <row r="30" spans="1:12" ht="31.8" thickBot="1" x14ac:dyDescent="0.35">
      <c r="A30" s="7" t="s">
        <v>35</v>
      </c>
      <c r="B30" s="2" t="s">
        <v>36</v>
      </c>
      <c r="C30" s="2" t="s">
        <v>37</v>
      </c>
    </row>
    <row r="31" spans="1:12" ht="17.399999999999999" thickBot="1" x14ac:dyDescent="0.35">
      <c r="A31" s="7" t="s">
        <v>26</v>
      </c>
      <c r="B31" s="4">
        <f>COUNTIF($G$5:$G$14,"Du lịch")</f>
        <v>5</v>
      </c>
      <c r="C31" s="3">
        <f>SUMIF($G$5:$G$14,"Du lịch",$K$5:$L$14)</f>
        <v>5150</v>
      </c>
    </row>
    <row r="32" spans="1:12" ht="31.8" thickBot="1" x14ac:dyDescent="0.35">
      <c r="A32" s="7" t="s">
        <v>27</v>
      </c>
      <c r="B32" s="4">
        <f>COUNTIF(G5:G14,"Làm việc")</f>
        <v>5</v>
      </c>
      <c r="C32" s="3">
        <f>SUMIF($G$5:$G$14,"Làm việc",$K$5:$L$14)</f>
        <v>6260</v>
      </c>
    </row>
    <row r="33" spans="1:1" ht="16.8" x14ac:dyDescent="0.3">
      <c r="A33" s="12"/>
    </row>
  </sheetData>
  <mergeCells count="52">
    <mergeCell ref="B16:C16"/>
    <mergeCell ref="F18:F19"/>
    <mergeCell ref="G18:G19"/>
    <mergeCell ref="A3:B4"/>
    <mergeCell ref="C3:C4"/>
    <mergeCell ref="D3:D4"/>
    <mergeCell ref="E3:F4"/>
    <mergeCell ref="G3:G4"/>
    <mergeCell ref="A6:B6"/>
    <mergeCell ref="A8:B8"/>
    <mergeCell ref="E8:F8"/>
    <mergeCell ref="K8:L8"/>
    <mergeCell ref="I3:I4"/>
    <mergeCell ref="J3:J4"/>
    <mergeCell ref="A5:B5"/>
    <mergeCell ref="E5:F5"/>
    <mergeCell ref="K5:L5"/>
    <mergeCell ref="H3:H4"/>
    <mergeCell ref="E6:F6"/>
    <mergeCell ref="K6:L6"/>
    <mergeCell ref="A7:B7"/>
    <mergeCell ref="E7:F7"/>
    <mergeCell ref="K7:L7"/>
    <mergeCell ref="A9:B9"/>
    <mergeCell ref="E9:F9"/>
    <mergeCell ref="K9:L9"/>
    <mergeCell ref="A10:B10"/>
    <mergeCell ref="E10:F10"/>
    <mergeCell ref="K10:L10"/>
    <mergeCell ref="K14:L14"/>
    <mergeCell ref="A11:B11"/>
    <mergeCell ref="E11:F11"/>
    <mergeCell ref="K11:L11"/>
    <mergeCell ref="A12:B12"/>
    <mergeCell ref="E12:F12"/>
    <mergeCell ref="K12:L12"/>
    <mergeCell ref="A28:C28"/>
    <mergeCell ref="A29:C29"/>
    <mergeCell ref="A2:L2"/>
    <mergeCell ref="H18:H19"/>
    <mergeCell ref="I18:I19"/>
    <mergeCell ref="F16:I16"/>
    <mergeCell ref="K3:L4"/>
    <mergeCell ref="A15:A21"/>
    <mergeCell ref="B15:E15"/>
    <mergeCell ref="F15:K15"/>
    <mergeCell ref="L15:L21"/>
    <mergeCell ref="A13:B13"/>
    <mergeCell ref="E13:F13"/>
    <mergeCell ref="K13:L13"/>
    <mergeCell ref="A14:B14"/>
    <mergeCell ref="E14:F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2025-11-04T16:06:20Z</dcterms:created>
  <dcterms:modified xsi:type="dcterms:W3CDTF">2025-11-04T16:06:24Z</dcterms:modified>
</cp:coreProperties>
</file>