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ngocm\OneDrive\Documents\"/>
    </mc:Choice>
  </mc:AlternateContent>
  <xr:revisionPtr revIDLastSave="0" documentId="13_ncr:1_{A2B32DE5-3E4D-4FBE-B46E-209DE70513C9}" xr6:coauthVersionLast="47" xr6:coauthVersionMax="47" xr10:uidLastSave="{00000000-0000-0000-0000-000000000000}"/>
  <bookViews>
    <workbookView xWindow="-108" yWindow="-108" windowWidth="23256" windowHeight="12456" xr2:uid="{1B2007B8-2D6E-4721-A4BE-5E7287551516}"/>
  </bookViews>
  <sheets>
    <sheet name="Sheet1" sheetId="1" r:id="rId1"/>
  </sheets>
  <definedNames>
    <definedName name="_xlnm._FilterDatabase" localSheetId="0" hidden="1">Sheet1!$A$3:$L$3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 i="1" l="1"/>
  <c r="L5" i="1" s="1"/>
  <c r="J6" i="1"/>
  <c r="J7" i="1"/>
  <c r="L7" i="1" s="1"/>
  <c r="J8" i="1"/>
  <c r="J9" i="1"/>
  <c r="L9" i="1" s="1"/>
  <c r="J10" i="1"/>
  <c r="J11" i="1"/>
  <c r="J4" i="1"/>
  <c r="L4" i="1" s="1"/>
  <c r="D5" i="1"/>
  <c r="D6" i="1"/>
  <c r="D7" i="1"/>
  <c r="D8" i="1"/>
  <c r="D9" i="1"/>
  <c r="D10" i="1"/>
  <c r="D11" i="1"/>
  <c r="D4" i="1"/>
  <c r="E4" i="1"/>
  <c r="I4" i="1" s="1"/>
  <c r="E5" i="1"/>
  <c r="I5" i="1" s="1"/>
  <c r="K5" i="1" s="1"/>
  <c r="E6" i="1"/>
  <c r="I6" i="1" s="1"/>
  <c r="E7" i="1"/>
  <c r="I7" i="1" s="1"/>
  <c r="E8" i="1"/>
  <c r="I8" i="1" s="1"/>
  <c r="E9" i="1"/>
  <c r="I9" i="1" s="1"/>
  <c r="E10" i="1"/>
  <c r="I10" i="1" s="1"/>
  <c r="E11" i="1"/>
  <c r="I11" i="1" s="1"/>
  <c r="K10" i="1" l="1"/>
  <c r="K6" i="1"/>
  <c r="K9" i="1"/>
  <c r="K8" i="1"/>
  <c r="K4" i="1"/>
  <c r="K11" i="1"/>
  <c r="L11" i="1"/>
  <c r="L10" i="1"/>
  <c r="L8" i="1"/>
  <c r="L6" i="1"/>
  <c r="I17" i="1" s="1"/>
  <c r="K7" i="1"/>
  <c r="H17" i="1" l="1"/>
  <c r="G1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Ngoc Minh</author>
  </authors>
  <commentList>
    <comment ref="L34" authorId="0" shapeId="0" xr:uid="{3644D8C9-610E-4B9C-9C89-C6D103F23E2F}">
      <text>
        <r>
          <rPr>
            <b/>
            <sz val="9"/>
            <color indexed="81"/>
            <rFont val="Tahoma"/>
            <family val="2"/>
          </rPr>
          <t>Ngoc Minh:</t>
        </r>
        <r>
          <rPr>
            <sz val="9"/>
            <color indexed="81"/>
            <rFont val="Tahoma"/>
            <family val="2"/>
          </rPr>
          <t xml:space="preserve">
Cách làm: Mở Sheet1.
Bôi đen hàng tiêu đề (tên cột).
Vào Data → Filter.
Nhấn mũi tên trong cột Kết quả, chọn “Đỗ”.
Chọn toàn bộ các hàng được lọc (Ctrl + A → Ctrl + C).
Tạo Sheet mới, nhấn chuột phải → chọn Rename → gõ DS Đỗ.
Dán dữ liệu vào đó (Ctrl + V).</t>
        </r>
      </text>
    </comment>
  </commentList>
</comments>
</file>

<file path=xl/sharedStrings.xml><?xml version="1.0" encoding="utf-8"?>
<sst xmlns="http://schemas.openxmlformats.org/spreadsheetml/2006/main" count="75" uniqueCount="68">
  <si>
    <t>BÀI 8</t>
  </si>
  <si>
    <t>KẾT QUẢ TUYỂN SINH</t>
  </si>
  <si>
    <t>SBD</t>
  </si>
  <si>
    <t xml:space="preserve">Họ </t>
  </si>
  <si>
    <t>Tên</t>
  </si>
  <si>
    <t xml:space="preserve">Toán </t>
  </si>
  <si>
    <t xml:space="preserve">Lý </t>
  </si>
  <si>
    <t>Hóa</t>
  </si>
  <si>
    <t>Kết quả</t>
  </si>
  <si>
    <t>A101</t>
  </si>
  <si>
    <t>Lê Minh</t>
  </si>
  <si>
    <t>Tấn</t>
  </si>
  <si>
    <t>B102</t>
  </si>
  <si>
    <t>Trương Quang</t>
  </si>
  <si>
    <t>Minh</t>
  </si>
  <si>
    <t>C203</t>
  </si>
  <si>
    <t>Định</t>
  </si>
  <si>
    <t>D204</t>
  </si>
  <si>
    <t>Nguyễn Mạnh</t>
  </si>
  <si>
    <t>Đình</t>
  </si>
  <si>
    <t>A205</t>
  </si>
  <si>
    <t>Nguyển Thị</t>
  </si>
  <si>
    <t>Thanh</t>
  </si>
  <si>
    <t>C106</t>
  </si>
  <si>
    <t>Châu Thanh</t>
  </si>
  <si>
    <t>Thế</t>
  </si>
  <si>
    <t>D107</t>
  </si>
  <si>
    <t>Trần</t>
  </si>
  <si>
    <t>Trung</t>
  </si>
  <si>
    <t>A208</t>
  </si>
  <si>
    <t>Phan Bá</t>
  </si>
  <si>
    <t>Vinh</t>
  </si>
  <si>
    <t>Bảng 1</t>
  </si>
  <si>
    <t>Bảng 2</t>
  </si>
  <si>
    <t>Mã</t>
  </si>
  <si>
    <t>Ngành</t>
  </si>
  <si>
    <t>Ngành thi</t>
  </si>
  <si>
    <t>Điểm chuẩn 1</t>
  </si>
  <si>
    <t>Điểm chuẩn 2</t>
  </si>
  <si>
    <t>Mã Ngành</t>
  </si>
  <si>
    <t>A</t>
  </si>
  <si>
    <t>B</t>
  </si>
  <si>
    <t>C</t>
  </si>
  <si>
    <t>D</t>
  </si>
  <si>
    <t>Điểm h.bổng</t>
  </si>
  <si>
    <t>CNTT</t>
  </si>
  <si>
    <t>Điện Tử VT</t>
  </si>
  <si>
    <t>Xây Dựng</t>
  </si>
  <si>
    <t>Yêu cầu:</t>
  </si>
  <si>
    <r>
      <t>1.</t>
    </r>
    <r>
      <rPr>
        <sz val="7"/>
        <color rgb="FF000000"/>
        <rFont val="Times New Roman"/>
        <family val="1"/>
      </rPr>
      <t xml:space="preserve">     </t>
    </r>
    <r>
      <rPr>
        <sz val="11"/>
        <color rgb="FF000000"/>
        <rFont val="Times New Roman"/>
        <family val="1"/>
      </rPr>
      <t>Nhập số liệu cho bảng tính và lưu lên đĩa với tên KT1.XLSX</t>
    </r>
  </si>
  <si>
    <r>
      <t>2.</t>
    </r>
    <r>
      <rPr>
        <sz val="7"/>
        <color rgb="FF000000"/>
        <rFont val="Times New Roman"/>
        <family val="1"/>
      </rPr>
      <t xml:space="preserve">     </t>
    </r>
    <r>
      <rPr>
        <sz val="11"/>
        <color rgb="FF000000"/>
        <rFont val="Times New Roman"/>
        <family val="1"/>
      </rPr>
      <t>Chèn thêm hai cột Ngành thi và Khu vực vào bên trái cột Toán, hai cột Tổng điểm và Điểm chuẩn bên trái cột Kết quả, cột Học bổng bên phải cột Kết quả.</t>
    </r>
  </si>
  <si>
    <r>
      <t>3.</t>
    </r>
    <r>
      <rPr>
        <sz val="7"/>
        <color rgb="FF000000"/>
        <rFont val="Times New Roman"/>
        <family val="1"/>
      </rPr>
      <t xml:space="preserve">     </t>
    </r>
    <r>
      <rPr>
        <sz val="11"/>
        <color rgb="FF000000"/>
        <rFont val="Times New Roman"/>
        <family val="1"/>
      </rPr>
      <t>Sắp xếp bảng tính tăng dần theo Tên.</t>
    </r>
  </si>
  <si>
    <r>
      <t>5.</t>
    </r>
    <r>
      <rPr>
        <sz val="7"/>
        <color rgb="FF000000"/>
        <rFont val="Times New Roman"/>
        <family val="1"/>
      </rPr>
      <t xml:space="preserve">     </t>
    </r>
    <r>
      <rPr>
        <sz val="11"/>
        <color rgb="FF000000"/>
        <rFont val="Times New Roman"/>
        <family val="1"/>
      </rPr>
      <t>Lập công thức cho biết điểm chuẩn, dựa vào ngành thi và bảng 1, nếu thí sinh ở khu vực 1, thì lấy điểm chuẩn là Điểm chuẩn 1, ngược lại Điểm chuẩn 2.</t>
    </r>
  </si>
  <si>
    <r>
      <t>6.</t>
    </r>
    <r>
      <rPr>
        <sz val="7"/>
        <color rgb="FF000000"/>
        <rFont val="Times New Roman"/>
        <family val="1"/>
      </rPr>
      <t xml:space="preserve">     </t>
    </r>
    <r>
      <rPr>
        <sz val="11"/>
        <color rgb="FF000000"/>
        <rFont val="Times New Roman"/>
        <family val="1"/>
      </rPr>
      <t>Tính Tổng điểm là tổng cộng điểm của 3 môn thi.</t>
    </r>
  </si>
  <si>
    <r>
      <t>7.</t>
    </r>
    <r>
      <rPr>
        <sz val="7"/>
        <color rgb="FF000000"/>
        <rFont val="Times New Roman"/>
        <family val="1"/>
      </rPr>
      <t xml:space="preserve">     </t>
    </r>
    <r>
      <rPr>
        <sz val="11"/>
        <color rgb="FF000000"/>
        <rFont val="Times New Roman"/>
        <family val="1"/>
      </rPr>
      <t>Lập công thức cho cột Kết quả, nếu tổng điểm lớn hơn hay bằng điểm chuẩn của ngành dự thi thì kết quả là "Đỗ", ngược lại là "Trượt".</t>
    </r>
  </si>
  <si>
    <r>
      <t>9.</t>
    </r>
    <r>
      <rPr>
        <sz val="7"/>
        <color rgb="FF000000"/>
        <rFont val="Times New Roman"/>
        <family val="1"/>
      </rPr>
      <t xml:space="preserve">     </t>
    </r>
    <r>
      <rPr>
        <sz val="11"/>
        <color rgb="FF000000"/>
        <rFont val="Times New Roman"/>
        <family val="1"/>
      </rPr>
      <t>Trích ra danh sách các thí sinh có kết quả đỗ và chuyển danh sách sang sheet 2, đặt tên sheet 2 là DS Đỗ.</t>
    </r>
  </si>
  <si>
    <r>
      <t>10.</t>
    </r>
    <r>
      <rPr>
        <sz val="7"/>
        <color rgb="FF000000"/>
        <rFont val="Times New Roman"/>
        <family val="1"/>
      </rPr>
      <t xml:space="preserve">  </t>
    </r>
    <r>
      <rPr>
        <sz val="11"/>
        <color rgb="FF000000"/>
        <rFont val="Times New Roman"/>
        <family val="1"/>
      </rPr>
      <t>Thống kê cho biết số thí sinh đỗ, số thí sinh trượt, số thí sinh có học bổng</t>
    </r>
  </si>
  <si>
    <r>
      <t>11.</t>
    </r>
    <r>
      <rPr>
        <sz val="7"/>
        <color rgb="FF000000"/>
        <rFont val="Times New Roman"/>
        <family val="1"/>
      </rPr>
      <t xml:space="preserve">  </t>
    </r>
    <r>
      <rPr>
        <sz val="11"/>
        <color rgb="FF000000"/>
        <rFont val="Times New Roman"/>
        <family val="1"/>
      </rPr>
      <t>Vẽ biểu đồ (PIE) so sánh số thí sinh đỗ trượt (có tiêu đề và trang trí nếu cần).</t>
    </r>
  </si>
  <si>
    <t>Khu vực</t>
  </si>
  <si>
    <t>Tổng điểm</t>
  </si>
  <si>
    <t>Điểm chuẩn</t>
  </si>
  <si>
    <t>Học bổng</t>
  </si>
  <si>
    <r>
      <t>4.</t>
    </r>
    <r>
      <rPr>
        <sz val="7"/>
        <color rgb="FF000000"/>
        <rFont val="Times New Roman"/>
        <family val="1"/>
      </rPr>
      <t xml:space="preserve">     </t>
    </r>
    <r>
      <rPr>
        <sz val="11"/>
        <color rgb="FF000000"/>
        <rFont val="Times New Roman"/>
        <family val="1"/>
      </rPr>
      <t>Lập công thức cho biết Khu vực và Ngành thi của từng thí sinh, biết rằng ký tự thứ 2 của SBD cho biết Khu vực ký tự thứ 1 của SBD cho biết ngành thi.</t>
    </r>
  </si>
  <si>
    <t>Cách làm</t>
  </si>
  <si>
    <t>Số thí sinh đỗ</t>
  </si>
  <si>
    <t xml:space="preserve">Số thí sinh trượt </t>
  </si>
  <si>
    <t>Số thí sinh có học bổng</t>
  </si>
  <si>
    <r>
      <t>8.</t>
    </r>
    <r>
      <rPr>
        <sz val="7"/>
        <color rgb="FF000000"/>
        <rFont val="Times New Roman"/>
        <family val="1"/>
      </rPr>
      <t xml:space="preserve">     </t>
    </r>
    <r>
      <rPr>
        <sz val="11"/>
        <color rgb="FF000000"/>
        <rFont val="Times New Roman"/>
        <family val="1"/>
      </rPr>
      <t>Lập công thức cho cột Học bổng, nếu tổng điểm lớn hơn hay bằng điểm học bổng của ngành dự thi, thì học bổng là "có", ngược lại để trống.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</si>
</sst>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1"/>
      <color rgb="FF000000"/>
      <name val="Times New Roman"/>
      <family val="1"/>
    </font>
    <font>
      <b/>
      <sz val="11"/>
      <color rgb="FF000000"/>
      <name val="Times New Roman"/>
      <family val="1"/>
    </font>
    <font>
      <b/>
      <sz val="15"/>
      <color rgb="FF000000"/>
      <name val="Times New Roman"/>
      <family val="1"/>
    </font>
    <font>
      <b/>
      <u/>
      <sz val="11"/>
      <color rgb="FFFF0000"/>
      <name val="Times New Roman"/>
      <family val="1"/>
    </font>
    <font>
      <sz val="7"/>
      <color rgb="FF000000"/>
      <name val="Times New Roman"/>
      <family val="1"/>
    </font>
    <font>
      <sz val="9"/>
      <color indexed="81"/>
      <name val="Tahoma"/>
      <family val="2"/>
    </font>
    <font>
      <b/>
      <sz val="9"/>
      <color indexed="81"/>
      <name val="Tahoma"/>
      <family val="2"/>
    </font>
  </fonts>
  <fills count="2">
    <fill>
      <patternFill patternType="none"/>
    </fill>
    <fill>
      <patternFill patternType="gray125"/>
    </fill>
  </fills>
  <borders count="18">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style="medium">
        <color rgb="FF000000"/>
      </left>
      <right/>
      <top style="medium">
        <color rgb="FF000000"/>
      </top>
      <bottom style="medium">
        <color rgb="FF000000"/>
      </bottom>
      <diagonal/>
    </border>
    <border>
      <left style="medium">
        <color rgb="FF000000"/>
      </left>
      <right style="medium">
        <color indexed="64"/>
      </right>
      <top style="medium">
        <color rgb="FF000000"/>
      </top>
      <bottom style="medium">
        <color rgb="FF000000"/>
      </bottom>
      <diagonal/>
    </border>
    <border>
      <left style="medium">
        <color rgb="FF000000"/>
      </left>
      <right style="medium">
        <color indexed="64"/>
      </right>
      <top/>
      <bottom style="medium">
        <color rgb="FF000000"/>
      </bottom>
      <diagonal/>
    </border>
    <border>
      <left style="medium">
        <color indexed="64"/>
      </left>
      <right style="medium">
        <color indexed="64"/>
      </right>
      <top style="medium">
        <color indexed="64"/>
      </top>
      <bottom style="medium">
        <color indexed="64"/>
      </bottom>
      <diagonal/>
    </border>
    <border>
      <left style="medium">
        <color rgb="FF000000"/>
      </left>
      <right style="medium">
        <color indexed="64"/>
      </right>
      <top style="medium">
        <color rgb="FF000000"/>
      </top>
      <bottom/>
      <diagonal/>
    </border>
    <border>
      <left/>
      <right style="medium">
        <color indexed="64"/>
      </right>
      <top/>
      <bottom/>
      <diagonal/>
    </border>
    <border>
      <left/>
      <right style="medium">
        <color indexed="64"/>
      </right>
      <top style="medium">
        <color rgb="FF000000"/>
      </top>
      <bottom style="medium">
        <color rgb="FF000000"/>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45">
    <xf numFmtId="0" fontId="0" fillId="0" borderId="0" xfId="0"/>
    <xf numFmtId="0" fontId="3" fillId="0" borderId="0" xfId="0" applyFont="1" applyAlignment="1">
      <alignment vertical="center"/>
    </xf>
    <xf numFmtId="0" fontId="4" fillId="0" borderId="0" xfId="0" applyFont="1" applyAlignment="1">
      <alignment horizontal="left" vertical="center" indent="13"/>
    </xf>
    <xf numFmtId="0" fontId="3" fillId="0" borderId="1" xfId="0" applyFont="1" applyBorder="1" applyAlignment="1">
      <alignment horizontal="left" vertical="center" wrapText="1" indent="1"/>
    </xf>
    <xf numFmtId="0" fontId="3" fillId="0" borderId="2" xfId="0" applyFont="1" applyBorder="1" applyAlignment="1">
      <alignment horizontal="center" vertical="center" wrapText="1"/>
    </xf>
    <xf numFmtId="0" fontId="3" fillId="0" borderId="2" xfId="0" applyFont="1" applyBorder="1" applyAlignment="1">
      <alignment horizontal="left" vertical="center" wrapText="1" indent="1"/>
    </xf>
    <xf numFmtId="0" fontId="3" fillId="0" borderId="2" xfId="0" applyFont="1" applyBorder="1" applyAlignment="1">
      <alignment horizontal="justify"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2" fillId="0" borderId="4" xfId="0" applyFont="1" applyBorder="1" applyAlignment="1">
      <alignment horizontal="right" vertical="center" wrapText="1"/>
    </xf>
    <xf numFmtId="0" fontId="3" fillId="0" borderId="5" xfId="0" applyFont="1" applyBorder="1" applyAlignment="1">
      <alignment horizontal="left" vertical="center" wrapText="1" indent="1"/>
    </xf>
    <xf numFmtId="0" fontId="3" fillId="0" borderId="3" xfId="0" applyFont="1" applyBorder="1" applyAlignment="1">
      <alignment horizontal="justify" vertical="center" wrapText="1"/>
    </xf>
    <xf numFmtId="0" fontId="3" fillId="0" borderId="4" xfId="0" applyFont="1" applyBorder="1" applyAlignment="1">
      <alignment horizontal="center" vertical="center" wrapText="1"/>
    </xf>
    <xf numFmtId="0" fontId="2" fillId="0" borderId="4" xfId="0" applyFont="1" applyBorder="1" applyAlignment="1">
      <alignment horizontal="center" vertical="center" wrapText="1"/>
    </xf>
    <xf numFmtId="0" fontId="3" fillId="0" borderId="3" xfId="0" applyFont="1" applyBorder="1" applyAlignment="1">
      <alignment vertical="center" wrapText="1"/>
    </xf>
    <xf numFmtId="0" fontId="2" fillId="0" borderId="0" xfId="0" applyFont="1" applyAlignment="1">
      <alignment vertical="center" wrapText="1"/>
    </xf>
    <xf numFmtId="0" fontId="3" fillId="0" borderId="5" xfId="0" applyFont="1" applyBorder="1" applyAlignment="1">
      <alignment horizontal="center" vertical="center" wrapText="1"/>
    </xf>
    <xf numFmtId="0" fontId="3" fillId="0" borderId="3" xfId="0" applyFont="1" applyBorder="1" applyAlignment="1">
      <alignment horizontal="center" vertical="center" wrapText="1"/>
    </xf>
    <xf numFmtId="0" fontId="5" fillId="0" borderId="0" xfId="0" applyFont="1" applyAlignment="1">
      <alignment vertical="center"/>
    </xf>
    <xf numFmtId="0" fontId="2" fillId="0" borderId="0" xfId="0" applyFont="1" applyAlignment="1">
      <alignment horizontal="left" vertical="center" indent="2"/>
    </xf>
    <xf numFmtId="0" fontId="2" fillId="0" borderId="7" xfId="0" applyFont="1" applyBorder="1" applyAlignment="1">
      <alignment horizontal="center" vertical="center" wrapText="1"/>
    </xf>
    <xf numFmtId="0" fontId="2" fillId="0" borderId="6" xfId="0" applyFont="1" applyBorder="1" applyAlignment="1">
      <alignment vertical="center" wrapText="1"/>
    </xf>
    <xf numFmtId="0" fontId="3" fillId="0" borderId="2" xfId="0" applyFont="1" applyBorder="1" applyAlignment="1">
      <alignment vertical="center" wrapText="1"/>
    </xf>
    <xf numFmtId="0" fontId="2" fillId="0" borderId="0" xfId="0" applyFont="1" applyBorder="1" applyAlignment="1">
      <alignment vertical="center" wrapText="1"/>
    </xf>
    <xf numFmtId="0" fontId="3" fillId="0" borderId="0" xfId="0" applyFont="1" applyBorder="1" applyAlignment="1">
      <alignment horizontal="center" vertical="center" wrapText="1"/>
    </xf>
    <xf numFmtId="0" fontId="3" fillId="0" borderId="8" xfId="0" applyFont="1" applyBorder="1" applyAlignment="1">
      <alignment horizontal="center" vertical="center" wrapText="1"/>
    </xf>
    <xf numFmtId="0" fontId="2" fillId="0" borderId="9" xfId="0" applyFont="1" applyBorder="1" applyAlignment="1">
      <alignment horizontal="center" vertical="center" wrapText="1"/>
    </xf>
    <xf numFmtId="0" fontId="0" fillId="0" borderId="0" xfId="0" applyBorder="1"/>
    <xf numFmtId="0" fontId="2" fillId="0" borderId="0" xfId="0" applyFont="1" applyBorder="1" applyAlignment="1">
      <alignment horizontal="right" vertical="center" wrapText="1"/>
    </xf>
    <xf numFmtId="0" fontId="2" fillId="0" borderId="8" xfId="0" applyFont="1" applyBorder="1" applyAlignment="1">
      <alignment horizontal="right" vertical="center" wrapText="1"/>
    </xf>
    <xf numFmtId="0" fontId="2" fillId="0" borderId="9" xfId="0" applyFont="1" applyBorder="1" applyAlignment="1">
      <alignment horizontal="right" vertical="center" wrapText="1"/>
    </xf>
    <xf numFmtId="0" fontId="3" fillId="0" borderId="11" xfId="0" applyFont="1" applyBorder="1" applyAlignment="1">
      <alignment horizontal="center" vertical="center" wrapText="1"/>
    </xf>
    <xf numFmtId="0" fontId="3" fillId="0" borderId="9" xfId="0" applyFont="1" applyBorder="1" applyAlignment="1">
      <alignment horizontal="center" vertical="center" wrapText="1"/>
    </xf>
    <xf numFmtId="0" fontId="0" fillId="0" borderId="12" xfId="0" applyBorder="1"/>
    <xf numFmtId="0" fontId="3" fillId="0" borderId="13" xfId="0" applyFont="1" applyBorder="1" applyAlignment="1">
      <alignment horizontal="center" vertical="center" wrapText="1"/>
    </xf>
    <xf numFmtId="0" fontId="2" fillId="0" borderId="8" xfId="0" applyFont="1" applyBorder="1" applyAlignment="1">
      <alignment horizontal="center" vertical="center" wrapText="1"/>
    </xf>
    <xf numFmtId="1" fontId="2" fillId="0" borderId="4" xfId="0" applyNumberFormat="1" applyFont="1" applyBorder="1" applyAlignment="1">
      <alignment vertical="center" wrapText="1"/>
    </xf>
    <xf numFmtId="0" fontId="0" fillId="0" borderId="0" xfId="0" applyAlignment="1">
      <alignment wrapText="1"/>
    </xf>
    <xf numFmtId="0" fontId="1" fillId="0" borderId="0" xfId="0" applyFont="1"/>
    <xf numFmtId="0" fontId="3" fillId="0" borderId="0" xfId="0" applyFont="1" applyBorder="1" applyAlignment="1">
      <alignment vertical="center" wrapText="1"/>
    </xf>
    <xf numFmtId="0" fontId="2" fillId="0" borderId="14" xfId="0" applyFont="1" applyBorder="1" applyAlignment="1">
      <alignment vertical="center" wrapText="1"/>
    </xf>
    <xf numFmtId="0" fontId="2" fillId="0" borderId="15" xfId="0" applyFont="1" applyBorder="1" applyAlignment="1">
      <alignment vertical="center" wrapText="1"/>
    </xf>
    <xf numFmtId="0" fontId="2" fillId="0" borderId="10" xfId="0" applyFont="1" applyBorder="1" applyAlignment="1">
      <alignment vertical="center" wrapText="1"/>
    </xf>
    <xf numFmtId="0" fontId="2" fillId="0" borderId="16" xfId="0" applyFont="1" applyBorder="1" applyAlignment="1">
      <alignment vertical="center" wrapText="1"/>
    </xf>
    <xf numFmtId="0" fontId="2" fillId="0" borderId="17"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Biểu</a:t>
            </a:r>
            <a:r>
              <a:rPr lang="en-GB" baseline="0"/>
              <a:t> đồ số thí sinh đỗ/trượt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Sheet1!$G$16:$H$16</c:f>
              <c:strCache>
                <c:ptCount val="2"/>
                <c:pt idx="0">
                  <c:v>Số thí sinh đỗ</c:v>
                </c:pt>
                <c:pt idx="1">
                  <c:v>Số thí sinh trượt </c:v>
                </c:pt>
              </c:strCache>
            </c:strRef>
          </c:cat>
          <c:val>
            <c:numRef>
              <c:f>Sheet1!$G$17:$H$17</c:f>
              <c:numCache>
                <c:formatCode>General</c:formatCode>
                <c:ptCount val="2"/>
                <c:pt idx="0">
                  <c:v>2</c:v>
                </c:pt>
                <c:pt idx="1">
                  <c:v>6</c:v>
                </c:pt>
              </c:numCache>
            </c:numRef>
          </c:val>
          <c:extLst>
            <c:ext xmlns:c16="http://schemas.microsoft.com/office/drawing/2014/chart" uri="{C3380CC4-5D6E-409C-BE32-E72D297353CC}">
              <c16:uniqueId val="{00000000-AE09-41CE-BD73-25ED29000D3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137160</xdr:colOff>
      <xdr:row>15</xdr:row>
      <xdr:rowOff>30480</xdr:rowOff>
    </xdr:from>
    <xdr:to>
      <xdr:col>14</xdr:col>
      <xdr:colOff>541020</xdr:colOff>
      <xdr:row>24</xdr:row>
      <xdr:rowOff>179070</xdr:rowOff>
    </xdr:to>
    <xdr:graphicFrame macro="">
      <xdr:nvGraphicFramePr>
        <xdr:cNvPr id="3" name="Chart 2">
          <a:extLst>
            <a:ext uri="{FF2B5EF4-FFF2-40B4-BE49-F238E27FC236}">
              <a16:creationId xmlns:a16="http://schemas.microsoft.com/office/drawing/2014/main" id="{47BB7EF2-50F2-B3A5-1DDD-D79F10938F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5B52-DC41-44A4-94D4-3BE35B83B09D}">
  <dimension ref="A1:O36"/>
  <sheetViews>
    <sheetView tabSelected="1" topLeftCell="A19" workbookViewId="0">
      <selection activeCell="A34" sqref="A34"/>
    </sheetView>
  </sheetViews>
  <sheetFormatPr defaultRowHeight="14.4" x14ac:dyDescent="0.3"/>
  <cols>
    <col min="4" max="4" width="9.33203125" bestFit="1" customWidth="1"/>
    <col min="7" max="8" width="8.88671875" customWidth="1"/>
    <col min="9" max="9" width="12.88671875" customWidth="1"/>
  </cols>
  <sheetData>
    <row r="1" spans="1:12" x14ac:dyDescent="0.3">
      <c r="A1" s="1" t="s">
        <v>0</v>
      </c>
    </row>
    <row r="2" spans="1:12" ht="19.2" thickBot="1" x14ac:dyDescent="0.35">
      <c r="A2" s="2" t="s">
        <v>1</v>
      </c>
    </row>
    <row r="3" spans="1:12" ht="28.2" thickBot="1" x14ac:dyDescent="0.35">
      <c r="A3" s="3" t="s">
        <v>2</v>
      </c>
      <c r="B3" s="4" t="s">
        <v>3</v>
      </c>
      <c r="C3" s="4" t="s">
        <v>4</v>
      </c>
      <c r="D3" s="4" t="s">
        <v>36</v>
      </c>
      <c r="E3" s="4" t="s">
        <v>58</v>
      </c>
      <c r="F3" s="5" t="s">
        <v>5</v>
      </c>
      <c r="G3" s="25" t="s">
        <v>6</v>
      </c>
      <c r="H3" s="34" t="s">
        <v>7</v>
      </c>
      <c r="I3" s="22" t="s">
        <v>60</v>
      </c>
      <c r="J3" s="22" t="s">
        <v>59</v>
      </c>
      <c r="K3" s="22" t="s">
        <v>8</v>
      </c>
      <c r="L3" s="6" t="s">
        <v>61</v>
      </c>
    </row>
    <row r="4" spans="1:12" ht="28.2" thickBot="1" x14ac:dyDescent="0.35">
      <c r="A4" s="7" t="s">
        <v>17</v>
      </c>
      <c r="B4" s="8" t="s">
        <v>18</v>
      </c>
      <c r="C4" s="8" t="s">
        <v>19</v>
      </c>
      <c r="D4" s="8" t="str">
        <f>VLOOKUP(LEFT(A4,1), $A$15:$D$18,2,FALSE)</f>
        <v>Hóa</v>
      </c>
      <c r="E4" s="36">
        <f t="shared" ref="E4:E11" si="0">INT(MID(A4,2,1))</f>
        <v>2</v>
      </c>
      <c r="F4" s="9">
        <v>9</v>
      </c>
      <c r="G4" s="20">
        <v>9</v>
      </c>
      <c r="H4" s="35">
        <v>9</v>
      </c>
      <c r="I4" s="13">
        <f>IF(E4="1", VLOOKUP(LEFT(A4,1), $A$15:$D$18,3,FALSE), VLOOKUP(LEFT(A4,1), $A$15:$D$18,4,FALSE))</f>
        <v>26</v>
      </c>
      <c r="J4" s="13">
        <f>SUM(F4:H4)</f>
        <v>27</v>
      </c>
      <c r="K4" s="13" t="str">
        <f>IF(J4&gt;=I4, "Đỗ", "Trượt")</f>
        <v>Đỗ</v>
      </c>
      <c r="L4" s="8" t="str">
        <f>IF(J4&gt;=HLOOKUP(LEFT(A4,1),$H$13:$K$14,2,FALSE), "Có", " ")</f>
        <v xml:space="preserve"> </v>
      </c>
    </row>
    <row r="5" spans="1:12" ht="15" thickBot="1" x14ac:dyDescent="0.35">
      <c r="A5" s="7" t="s">
        <v>15</v>
      </c>
      <c r="B5" s="8" t="s">
        <v>10</v>
      </c>
      <c r="C5" s="8" t="s">
        <v>16</v>
      </c>
      <c r="D5" s="8" t="str">
        <f t="shared" ref="D5:D11" si="1">VLOOKUP(LEFT(A5,1), $A$15:$D$18,2,FALSE)</f>
        <v>Xây Dựng</v>
      </c>
      <c r="E5" s="36">
        <f t="shared" si="0"/>
        <v>2</v>
      </c>
      <c r="F5" s="9">
        <v>4</v>
      </c>
      <c r="G5" s="20">
        <v>3</v>
      </c>
      <c r="H5" s="35">
        <v>9</v>
      </c>
      <c r="I5" s="13">
        <f t="shared" ref="I5:I11" si="2">IF(E5="1", VLOOKUP(LEFT(A5,1), $A$15:$D$18,3,FALSE), VLOOKUP(LEFT(A5,1), $A$15:$D$18,4,FALSE))</f>
        <v>25</v>
      </c>
      <c r="J5" s="13">
        <f t="shared" ref="J5:J11" si="3">SUM(F5:H5)</f>
        <v>16</v>
      </c>
      <c r="K5" s="13" t="str">
        <f t="shared" ref="K5:K11" si="4">IF(J5&gt;=I5, "Đỗ", "Trượt")</f>
        <v>Trượt</v>
      </c>
      <c r="L5" s="8" t="str">
        <f t="shared" ref="L5:L11" si="5">IF(J5&gt;=HLOOKUP(LEFT(A5,1),$H$13:$K$14,2,FALSE), "Có", " ")</f>
        <v xml:space="preserve"> </v>
      </c>
    </row>
    <row r="6" spans="1:12" ht="28.2" thickBot="1" x14ac:dyDescent="0.35">
      <c r="A6" s="7" t="s">
        <v>12</v>
      </c>
      <c r="B6" s="8" t="s">
        <v>13</v>
      </c>
      <c r="C6" s="8" t="s">
        <v>14</v>
      </c>
      <c r="D6" s="8" t="str">
        <f t="shared" si="1"/>
        <v>Điện Tử VT</v>
      </c>
      <c r="E6" s="36">
        <f t="shared" si="0"/>
        <v>1</v>
      </c>
      <c r="F6" s="9">
        <v>9</v>
      </c>
      <c r="G6" s="20">
        <v>9</v>
      </c>
      <c r="H6" s="35">
        <v>9</v>
      </c>
      <c r="I6" s="13">
        <f t="shared" si="2"/>
        <v>26</v>
      </c>
      <c r="J6" s="13">
        <f t="shared" si="3"/>
        <v>27</v>
      </c>
      <c r="K6" s="13" t="str">
        <f t="shared" si="4"/>
        <v>Đỗ</v>
      </c>
      <c r="L6" s="8" t="str">
        <f t="shared" si="5"/>
        <v xml:space="preserve"> </v>
      </c>
    </row>
    <row r="7" spans="1:12" ht="15" thickBot="1" x14ac:dyDescent="0.35">
      <c r="A7" s="7" t="s">
        <v>9</v>
      </c>
      <c r="B7" s="8" t="s">
        <v>10</v>
      </c>
      <c r="C7" s="8" t="s">
        <v>11</v>
      </c>
      <c r="D7" s="8" t="str">
        <f t="shared" si="1"/>
        <v>CNTT</v>
      </c>
      <c r="E7" s="36">
        <f t="shared" si="0"/>
        <v>1</v>
      </c>
      <c r="F7" s="9">
        <v>10</v>
      </c>
      <c r="G7" s="20">
        <v>9</v>
      </c>
      <c r="H7" s="35">
        <v>8</v>
      </c>
      <c r="I7" s="13">
        <f t="shared" si="2"/>
        <v>28</v>
      </c>
      <c r="J7" s="13">
        <f t="shared" si="3"/>
        <v>27</v>
      </c>
      <c r="K7" s="13" t="str">
        <f t="shared" si="4"/>
        <v>Trượt</v>
      </c>
      <c r="L7" s="8" t="str">
        <f t="shared" si="5"/>
        <v xml:space="preserve"> </v>
      </c>
    </row>
    <row r="8" spans="1:12" ht="28.2" thickBot="1" x14ac:dyDescent="0.35">
      <c r="A8" s="7" t="s">
        <v>20</v>
      </c>
      <c r="B8" s="8" t="s">
        <v>21</v>
      </c>
      <c r="C8" s="8" t="s">
        <v>22</v>
      </c>
      <c r="D8" s="8" t="str">
        <f t="shared" si="1"/>
        <v>CNTT</v>
      </c>
      <c r="E8" s="36">
        <f t="shared" si="0"/>
        <v>2</v>
      </c>
      <c r="F8" s="9">
        <v>6</v>
      </c>
      <c r="G8" s="20">
        <v>7</v>
      </c>
      <c r="H8" s="35">
        <v>9</v>
      </c>
      <c r="I8" s="13">
        <f t="shared" si="2"/>
        <v>28</v>
      </c>
      <c r="J8" s="13">
        <f t="shared" si="3"/>
        <v>22</v>
      </c>
      <c r="K8" s="13" t="str">
        <f t="shared" si="4"/>
        <v>Trượt</v>
      </c>
      <c r="L8" s="8" t="str">
        <f t="shared" si="5"/>
        <v xml:space="preserve"> </v>
      </c>
    </row>
    <row r="9" spans="1:12" ht="28.2" thickBot="1" x14ac:dyDescent="0.35">
      <c r="A9" s="7" t="s">
        <v>23</v>
      </c>
      <c r="B9" s="8" t="s">
        <v>24</v>
      </c>
      <c r="C9" s="8" t="s">
        <v>25</v>
      </c>
      <c r="D9" s="8" t="str">
        <f t="shared" si="1"/>
        <v>Xây Dựng</v>
      </c>
      <c r="E9" s="36">
        <f t="shared" si="0"/>
        <v>1</v>
      </c>
      <c r="F9" s="9">
        <v>8</v>
      </c>
      <c r="G9" s="20">
        <v>9</v>
      </c>
      <c r="H9" s="35">
        <v>7</v>
      </c>
      <c r="I9" s="13">
        <f t="shared" si="2"/>
        <v>25</v>
      </c>
      <c r="J9" s="13">
        <f t="shared" si="3"/>
        <v>24</v>
      </c>
      <c r="K9" s="13" t="str">
        <f t="shared" si="4"/>
        <v>Trượt</v>
      </c>
      <c r="L9" s="8" t="str">
        <f t="shared" si="5"/>
        <v xml:space="preserve"> </v>
      </c>
    </row>
    <row r="10" spans="1:12" ht="15" thickBot="1" x14ac:dyDescent="0.35">
      <c r="A10" s="7" t="s">
        <v>26</v>
      </c>
      <c r="B10" s="8" t="s">
        <v>27</v>
      </c>
      <c r="C10" s="8" t="s">
        <v>28</v>
      </c>
      <c r="D10" s="8" t="str">
        <f t="shared" si="1"/>
        <v>Hóa</v>
      </c>
      <c r="E10" s="36">
        <f t="shared" si="0"/>
        <v>1</v>
      </c>
      <c r="F10" s="9">
        <v>9</v>
      </c>
      <c r="G10" s="20">
        <v>8</v>
      </c>
      <c r="H10" s="35">
        <v>8</v>
      </c>
      <c r="I10" s="13">
        <f t="shared" si="2"/>
        <v>26</v>
      </c>
      <c r="J10" s="13">
        <f t="shared" si="3"/>
        <v>25</v>
      </c>
      <c r="K10" s="13" t="str">
        <f t="shared" si="4"/>
        <v>Trượt</v>
      </c>
      <c r="L10" s="8" t="str">
        <f t="shared" si="5"/>
        <v xml:space="preserve"> </v>
      </c>
    </row>
    <row r="11" spans="1:12" ht="15" thickBot="1" x14ac:dyDescent="0.35">
      <c r="A11" s="7" t="s">
        <v>29</v>
      </c>
      <c r="B11" s="8" t="s">
        <v>30</v>
      </c>
      <c r="C11" s="8" t="s">
        <v>31</v>
      </c>
      <c r="D11" s="8" t="str">
        <f t="shared" si="1"/>
        <v>CNTT</v>
      </c>
      <c r="E11" s="36">
        <f t="shared" si="0"/>
        <v>2</v>
      </c>
      <c r="F11" s="9">
        <v>9</v>
      </c>
      <c r="G11" s="20">
        <v>9</v>
      </c>
      <c r="H11" s="35">
        <v>9</v>
      </c>
      <c r="I11" s="13">
        <f t="shared" si="2"/>
        <v>28</v>
      </c>
      <c r="J11" s="13">
        <f t="shared" si="3"/>
        <v>27</v>
      </c>
      <c r="K11" s="13" t="str">
        <f t="shared" si="4"/>
        <v>Trượt</v>
      </c>
      <c r="L11" s="8" t="str">
        <f t="shared" si="5"/>
        <v xml:space="preserve"> </v>
      </c>
    </row>
    <row r="12" spans="1:12" ht="15" x14ac:dyDescent="0.3">
      <c r="A12" s="1" t="s">
        <v>32</v>
      </c>
      <c r="B12" s="1" t="s">
        <v>33</v>
      </c>
    </row>
    <row r="13" spans="1:12" ht="28.2" thickBot="1" x14ac:dyDescent="0.35">
      <c r="A13" s="10" t="s">
        <v>34</v>
      </c>
      <c r="B13" s="16" t="s">
        <v>36</v>
      </c>
      <c r="C13" s="16" t="s">
        <v>37</v>
      </c>
      <c r="D13" s="31" t="s">
        <v>38</v>
      </c>
      <c r="E13" s="24"/>
      <c r="F13" s="33"/>
      <c r="G13" s="4" t="s">
        <v>39</v>
      </c>
      <c r="H13" s="4" t="s">
        <v>40</v>
      </c>
      <c r="I13" s="4" t="s">
        <v>41</v>
      </c>
      <c r="J13" s="4" t="s">
        <v>42</v>
      </c>
      <c r="K13" s="25" t="s">
        <v>43</v>
      </c>
    </row>
    <row r="14" spans="1:12" ht="28.2" thickBot="1" x14ac:dyDescent="0.35">
      <c r="A14" s="11" t="s">
        <v>35</v>
      </c>
      <c r="B14" s="17"/>
      <c r="C14" s="17"/>
      <c r="D14" s="32"/>
      <c r="E14" s="24"/>
      <c r="F14" s="33"/>
      <c r="G14" s="12" t="s">
        <v>44</v>
      </c>
      <c r="H14" s="13">
        <v>29</v>
      </c>
      <c r="I14" s="13">
        <v>28</v>
      </c>
      <c r="J14" s="13">
        <v>27</v>
      </c>
      <c r="K14" s="26">
        <v>28</v>
      </c>
    </row>
    <row r="15" spans="1:12" ht="15" thickBot="1" x14ac:dyDescent="0.35">
      <c r="A15" s="14" t="s">
        <v>40</v>
      </c>
      <c r="B15" s="8" t="s">
        <v>45</v>
      </c>
      <c r="C15" s="9">
        <v>27</v>
      </c>
      <c r="D15" s="29">
        <v>28</v>
      </c>
      <c r="E15" s="28"/>
      <c r="F15" s="27"/>
      <c r="G15" s="21"/>
      <c r="H15" s="21"/>
      <c r="I15" s="21"/>
      <c r="J15" s="23"/>
      <c r="K15" s="23"/>
      <c r="L15" s="23"/>
    </row>
    <row r="16" spans="1:12" ht="28.2" thickBot="1" x14ac:dyDescent="0.35">
      <c r="A16" s="14" t="s">
        <v>41</v>
      </c>
      <c r="B16" s="8" t="s">
        <v>46</v>
      </c>
      <c r="C16" s="9">
        <v>25</v>
      </c>
      <c r="D16" s="30">
        <v>26</v>
      </c>
      <c r="E16" s="28"/>
      <c r="F16" s="27"/>
      <c r="G16" s="41" t="s">
        <v>64</v>
      </c>
      <c r="H16" s="42" t="s">
        <v>65</v>
      </c>
      <c r="I16" s="43" t="s">
        <v>66</v>
      </c>
      <c r="J16" s="15"/>
      <c r="K16" s="15"/>
      <c r="L16" s="15"/>
    </row>
    <row r="17" spans="1:12" ht="28.2" thickBot="1" x14ac:dyDescent="0.35">
      <c r="A17" s="14" t="s">
        <v>42</v>
      </c>
      <c r="B17" s="8" t="s">
        <v>47</v>
      </c>
      <c r="C17" s="9">
        <v>24</v>
      </c>
      <c r="D17" s="30">
        <v>25</v>
      </c>
      <c r="E17" s="28"/>
      <c r="F17" s="27"/>
      <c r="G17" s="42">
        <f>COUNTIF($K$4:$K$11, "Đỗ")</f>
        <v>2</v>
      </c>
      <c r="H17" s="44">
        <f>COUNTIF($K$4:$K$11, "Trượt")</f>
        <v>6</v>
      </c>
      <c r="I17" s="40">
        <f>COUNTIF($L$4:$L$11, "Có")</f>
        <v>0</v>
      </c>
      <c r="J17" s="15"/>
      <c r="K17" s="15"/>
      <c r="L17" s="15"/>
    </row>
    <row r="18" spans="1:12" ht="15" thickBot="1" x14ac:dyDescent="0.35">
      <c r="A18" s="14" t="s">
        <v>43</v>
      </c>
      <c r="B18" s="8" t="s">
        <v>7</v>
      </c>
      <c r="C18" s="9">
        <v>25</v>
      </c>
      <c r="D18" s="30">
        <v>26</v>
      </c>
      <c r="E18" s="28"/>
      <c r="F18" s="27"/>
      <c r="G18" s="23"/>
      <c r="H18" s="15"/>
      <c r="I18" s="15"/>
      <c r="J18" s="15"/>
      <c r="K18" s="15"/>
      <c r="L18" s="15"/>
    </row>
    <row r="19" spans="1:12" x14ac:dyDescent="0.3">
      <c r="A19" s="39"/>
      <c r="B19" s="23"/>
      <c r="C19" s="28"/>
      <c r="D19" s="28"/>
      <c r="E19" s="28"/>
      <c r="F19" s="27"/>
      <c r="G19" s="23"/>
      <c r="H19" s="15"/>
      <c r="I19" s="15"/>
      <c r="J19" s="15"/>
      <c r="K19" s="15"/>
      <c r="L19" s="15"/>
    </row>
    <row r="20" spans="1:12" x14ac:dyDescent="0.3">
      <c r="A20" s="39"/>
      <c r="B20" s="23"/>
      <c r="C20" s="28"/>
      <c r="D20" s="28"/>
      <c r="E20" s="28"/>
      <c r="F20" s="27"/>
      <c r="G20" s="23"/>
      <c r="H20" s="15"/>
      <c r="I20" s="15"/>
      <c r="J20" s="15"/>
      <c r="K20" s="15"/>
      <c r="L20" s="15"/>
    </row>
    <row r="21" spans="1:12" x14ac:dyDescent="0.3">
      <c r="A21" s="39"/>
      <c r="B21" s="23"/>
      <c r="C21" s="28"/>
      <c r="D21" s="28"/>
      <c r="E21" s="28"/>
      <c r="F21" s="27"/>
      <c r="G21" s="23"/>
      <c r="H21" s="15"/>
      <c r="I21" s="15"/>
      <c r="J21" s="15"/>
      <c r="K21" s="15"/>
      <c r="L21" s="15"/>
    </row>
    <row r="22" spans="1:12" x14ac:dyDescent="0.3">
      <c r="A22" s="39"/>
      <c r="B22" s="23"/>
      <c r="C22" s="28"/>
      <c r="D22" s="28"/>
      <c r="E22" s="28"/>
      <c r="F22" s="27"/>
      <c r="G22" s="23"/>
      <c r="H22" s="15"/>
      <c r="I22" s="15"/>
      <c r="J22" s="15"/>
      <c r="K22" s="15"/>
      <c r="L22" s="15"/>
    </row>
    <row r="23" spans="1:12" x14ac:dyDescent="0.3">
      <c r="A23" s="39"/>
      <c r="B23" s="23"/>
      <c r="C23" s="28"/>
      <c r="D23" s="28"/>
      <c r="E23" s="28"/>
      <c r="F23" s="27"/>
      <c r="G23" s="23"/>
      <c r="H23" s="15"/>
      <c r="I23" s="15"/>
      <c r="J23" s="15"/>
      <c r="K23" s="15"/>
      <c r="L23" s="15"/>
    </row>
    <row r="24" spans="1:12" x14ac:dyDescent="0.3">
      <c r="A24" s="39"/>
      <c r="B24" s="23"/>
      <c r="C24" s="28"/>
      <c r="D24" s="28"/>
      <c r="E24" s="28"/>
      <c r="F24" s="27"/>
      <c r="G24" s="23"/>
      <c r="H24" s="15"/>
      <c r="I24" s="15"/>
      <c r="J24" s="15"/>
      <c r="K24" s="15"/>
      <c r="L24" s="15"/>
    </row>
    <row r="25" spans="1:12" x14ac:dyDescent="0.3">
      <c r="A25" s="18" t="s">
        <v>48</v>
      </c>
    </row>
    <row r="26" spans="1:12" x14ac:dyDescent="0.3">
      <c r="A26" s="19" t="s">
        <v>49</v>
      </c>
    </row>
    <row r="27" spans="1:12" x14ac:dyDescent="0.3">
      <c r="A27" s="19" t="s">
        <v>50</v>
      </c>
    </row>
    <row r="28" spans="1:12" x14ac:dyDescent="0.3">
      <c r="A28" s="19" t="s">
        <v>51</v>
      </c>
    </row>
    <row r="29" spans="1:12" x14ac:dyDescent="0.3">
      <c r="A29" s="19" t="s">
        <v>62</v>
      </c>
    </row>
    <row r="30" spans="1:12" x14ac:dyDescent="0.3">
      <c r="A30" s="19" t="s">
        <v>52</v>
      </c>
    </row>
    <row r="31" spans="1:12" x14ac:dyDescent="0.3">
      <c r="A31" s="19" t="s">
        <v>53</v>
      </c>
    </row>
    <row r="32" spans="1:12" x14ac:dyDescent="0.3">
      <c r="A32" s="19" t="s">
        <v>54</v>
      </c>
    </row>
    <row r="33" spans="1:15" x14ac:dyDescent="0.3">
      <c r="A33" s="19" t="s">
        <v>67</v>
      </c>
      <c r="O33" s="37"/>
    </row>
    <row r="34" spans="1:15" x14ac:dyDescent="0.3">
      <c r="A34" s="19" t="s">
        <v>55</v>
      </c>
      <c r="L34" s="38" t="s">
        <v>63</v>
      </c>
    </row>
    <row r="35" spans="1:15" x14ac:dyDescent="0.3">
      <c r="A35" s="19" t="s">
        <v>56</v>
      </c>
    </row>
    <row r="36" spans="1:15" x14ac:dyDescent="0.3">
      <c r="A36" s="19" t="s">
        <v>57</v>
      </c>
    </row>
  </sheetData>
  <sortState xmlns:xlrd2="http://schemas.microsoft.com/office/spreadsheetml/2017/richdata2" ref="A4:L11">
    <sortCondition ref="C4:C11"/>
  </sortState>
  <mergeCells count="3">
    <mergeCell ref="B13:B14"/>
    <mergeCell ref="C13:C14"/>
    <mergeCell ref="D13:D14"/>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Ngoc Minh</dc:creator>
  <cp:lastModifiedBy>Ngoc Minh</cp:lastModifiedBy>
  <dcterms:created xsi:type="dcterms:W3CDTF">2025-11-03T15:41:59Z</dcterms:created>
  <dcterms:modified xsi:type="dcterms:W3CDTF">2025-11-03T16:38:29Z</dcterms:modified>
</cp:coreProperties>
</file>