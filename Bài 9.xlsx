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m\Downloads\Excel 2\"/>
    </mc:Choice>
  </mc:AlternateContent>
  <xr:revisionPtr revIDLastSave="0" documentId="13_ncr:1_{C21E821C-6CBC-41B3-BC3B-E3558E955B77}" xr6:coauthVersionLast="47" xr6:coauthVersionMax="47" xr10:uidLastSave="{00000000-0000-0000-0000-000000000000}"/>
  <bookViews>
    <workbookView xWindow="-108" yWindow="-108" windowWidth="23256" windowHeight="12456" xr2:uid="{A985EDE8-F584-46AB-B7A8-A83A8CC99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D34" i="1"/>
  <c r="V6" i="1"/>
  <c r="V7" i="1"/>
  <c r="V8" i="1"/>
  <c r="V9" i="1"/>
  <c r="V10" i="1"/>
  <c r="V11" i="1"/>
  <c r="V12" i="1"/>
  <c r="V13" i="1"/>
  <c r="V14" i="1"/>
  <c r="V15" i="1"/>
  <c r="K7" i="1"/>
  <c r="R7" i="1" s="1"/>
  <c r="S7" i="1" s="1"/>
  <c r="T7" i="1" s="1"/>
  <c r="K8" i="1"/>
  <c r="R8" i="1" s="1"/>
  <c r="S8" i="1" s="1"/>
  <c r="T8" i="1" s="1"/>
  <c r="K9" i="1"/>
  <c r="R9" i="1" s="1"/>
  <c r="S9" i="1" s="1"/>
  <c r="T9" i="1" s="1"/>
  <c r="K10" i="1"/>
  <c r="R10" i="1" s="1"/>
  <c r="S10" i="1" s="1"/>
  <c r="T10" i="1" s="1"/>
  <c r="K11" i="1"/>
  <c r="R11" i="1" s="1"/>
  <c r="S11" i="1" s="1"/>
  <c r="T11" i="1" s="1"/>
  <c r="K12" i="1"/>
  <c r="R12" i="1" s="1"/>
  <c r="S12" i="1" s="1"/>
  <c r="T12" i="1" s="1"/>
  <c r="K13" i="1"/>
  <c r="R13" i="1" s="1"/>
  <c r="S13" i="1" s="1"/>
  <c r="T13" i="1" s="1"/>
  <c r="K14" i="1"/>
  <c r="R14" i="1" s="1"/>
  <c r="S14" i="1" s="1"/>
  <c r="T14" i="1" s="1"/>
  <c r="K15" i="1"/>
  <c r="R15" i="1" s="1"/>
  <c r="S15" i="1" s="1"/>
  <c r="T15" i="1" s="1"/>
  <c r="K6" i="1"/>
  <c r="R6" i="1" s="1"/>
  <c r="S6" i="1" s="1"/>
  <c r="T6" i="1" s="1"/>
  <c r="J7" i="1"/>
  <c r="J8" i="1"/>
  <c r="J9" i="1"/>
  <c r="J10" i="1"/>
  <c r="J11" i="1"/>
  <c r="J12" i="1"/>
  <c r="J13" i="1"/>
  <c r="J14" i="1"/>
  <c r="J15" i="1"/>
  <c r="J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  <c r="G6" i="1"/>
  <c r="F7" i="1"/>
  <c r="F8" i="1"/>
  <c r="F9" i="1"/>
  <c r="F10" i="1"/>
  <c r="F11" i="1"/>
  <c r="F12" i="1"/>
  <c r="F13" i="1"/>
  <c r="F14" i="1"/>
  <c r="F15" i="1"/>
  <c r="F6" i="1"/>
  <c r="G7" i="1"/>
  <c r="G8" i="1"/>
  <c r="G9" i="1"/>
  <c r="G10" i="1"/>
  <c r="G11" i="1"/>
  <c r="G12" i="1"/>
  <c r="G13" i="1"/>
  <c r="G14" i="1"/>
  <c r="G15" i="1"/>
  <c r="B34" i="1" l="1"/>
  <c r="U14" i="1"/>
  <c r="U13" i="1"/>
  <c r="U12" i="1"/>
  <c r="U11" i="1"/>
  <c r="U10" i="1"/>
  <c r="U9" i="1"/>
  <c r="U8" i="1"/>
  <c r="U15" i="1"/>
  <c r="U7" i="1"/>
  <c r="U6" i="1"/>
  <c r="B35" i="1" l="1"/>
  <c r="C34" i="1"/>
  <c r="C35" i="1" s="1"/>
  <c r="E34" i="1" l="1"/>
</calcChain>
</file>

<file path=xl/sharedStrings.xml><?xml version="1.0" encoding="utf-8"?>
<sst xmlns="http://schemas.openxmlformats.org/spreadsheetml/2006/main" count="95" uniqueCount="81">
  <si>
    <t>BÀI 10</t>
  </si>
  <si>
    <t>BẢNG ĐIỂM HỌC SINH</t>
  </si>
  <si>
    <t>Mã số</t>
  </si>
  <si>
    <t>Họ</t>
  </si>
  <si>
    <t>Tên</t>
  </si>
  <si>
    <t>Ngày sinh</t>
  </si>
  <si>
    <t>GT</t>
  </si>
  <si>
    <t>Điểm thêm</t>
  </si>
  <si>
    <t>Điểm KK</t>
  </si>
  <si>
    <t>Điểm thi</t>
  </si>
  <si>
    <t xml:space="preserve">Tổng  </t>
  </si>
  <si>
    <t>Điểm</t>
  </si>
  <si>
    <t xml:space="preserve">Kết  </t>
  </si>
  <si>
    <t>Quả</t>
  </si>
  <si>
    <t>Khối</t>
  </si>
  <si>
    <t>Giỏi</t>
  </si>
  <si>
    <t>TD</t>
  </si>
  <si>
    <t>TT</t>
  </si>
  <si>
    <t>VH NT</t>
  </si>
  <si>
    <t>Nghề</t>
  </si>
  <si>
    <t>Cộng</t>
  </si>
  <si>
    <t>Toán</t>
  </si>
  <si>
    <t>Văn</t>
  </si>
  <si>
    <t>Lý</t>
  </si>
  <si>
    <t>Hóa</t>
  </si>
  <si>
    <t>Anh</t>
  </si>
  <si>
    <t>Sử</t>
  </si>
  <si>
    <t>A</t>
  </si>
  <si>
    <t>B</t>
  </si>
  <si>
    <t>C</t>
  </si>
  <si>
    <t>100TB</t>
  </si>
  <si>
    <t>Lâm Đức</t>
  </si>
  <si>
    <t>Trí</t>
  </si>
  <si>
    <t>Nam</t>
  </si>
  <si>
    <t>220KH</t>
  </si>
  <si>
    <t>Nguyễn Thị</t>
  </si>
  <si>
    <t>Nghĩa</t>
  </si>
  <si>
    <t>Nữ</t>
  </si>
  <si>
    <t>301GI</t>
  </si>
  <si>
    <t>Trần Hải</t>
  </si>
  <si>
    <t>Thanh</t>
  </si>
  <si>
    <t>201GI</t>
  </si>
  <si>
    <t>Nguyễn Ngọc</t>
  </si>
  <si>
    <t>Châu</t>
  </si>
  <si>
    <t>003KH</t>
  </si>
  <si>
    <t>Phan Thành</t>
  </si>
  <si>
    <t>Long</t>
  </si>
  <si>
    <t>000TB</t>
  </si>
  <si>
    <t>Võ Trường</t>
  </si>
  <si>
    <t>Hải</t>
  </si>
  <si>
    <t>000XX</t>
  </si>
  <si>
    <t>Bích</t>
  </si>
  <si>
    <t>011XX</t>
  </si>
  <si>
    <t>Thái Minh</t>
  </si>
  <si>
    <t>123KH</t>
  </si>
  <si>
    <t>Lê Thu</t>
  </si>
  <si>
    <t>Trang</t>
  </si>
  <si>
    <t>030TB</t>
  </si>
  <si>
    <t>Trần Chí</t>
  </si>
  <si>
    <t>YÊU CẦU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</si>
  <si>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Tính phần ĐIỂM THÊM</t>
    </r>
  </si>
  <si>
    <t>GIỎI: Dựa vào ký tự thứ  1 của mã số: nếu là 1 là 2 - nếu là 2 là 1.5 - nếu là 3 là 1.</t>
  </si>
  <si>
    <t>TDTT:Dựa vào ký tự thứ  2 của mã số: nếu là 1 là 2 - nếu là 2 là 1.5 - nếu là 3 là 1.</t>
  </si>
  <si>
    <t>VHNT: Dựa vào ký tự thứ  3 của mã số: nếu là 1 là 2 - nếu là 2 là 1.5 - nếu là 3 là 1.</t>
  </si>
  <si>
    <t>NGHỀ: Dựa vào ký tự thứ  4 và 5  của mã số: nếu là GI là 2 - nếu là KH là 1.5 - nếu là TB là 1.</t>
  </si>
  <si>
    <t>CỘNG: là tổng điểm thêm cho: HS Giỏi, có giải TDTT, VHNT và Nghề nhưng không quá 5 (quá 5 thì điền 5).</t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</si>
  <si>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Tính Điểm KK: Nếu là học sinh nữ và có tuổi nhỏ hơn 15, Điểm KK là 1 các trường hợp còn lại là 0.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</si>
  <si>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Tính Tổng Điểm = Điểm thêm(cộng) + Điểm KK + Điểm của các môn thi.</t>
    </r>
  </si>
  <si>
    <r>
      <t>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Căn cứ vào Tổng Điểm để xếp loại Kết quả:</t>
    </r>
  </si>
  <si>
    <t>GIỎI: Nếu Tổng Điểm từ 55 trở lên và không có môn thi dưới 7.</t>
  </si>
  <si>
    <t>KHÁ: Nếu 45&lt;=Tổng Điểm và không có môn thi dưới 5.</t>
  </si>
  <si>
    <t>TBÌNH: Nếu 30&lt;=Tổng Điểm và không có môn thi dưới 3. Còn lại là Không đạt.</t>
  </si>
  <si>
    <r>
      <t>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Đánh dấu X chọn HS các khối A, B, C theo yêu cầu:</t>
    </r>
  </si>
  <si>
    <t>Khối A: Nếu Kết quả là Giỏi và các môn thi Toán, Lý, Hóa trên 8, Anh trên 5 Khối B: Nếu Kết quả là Giỏi hoặc Khá, môn Hóa trên 8, các môn còn lại trên 5. Khối C: Các học sinh có điểm Văn, Sử trên 8.</t>
  </si>
  <si>
    <r>
      <t>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Trang trí bảng tính và định dạng các ô chứa trị dạng số theo đúng mẫu trên.</t>
    </r>
  </si>
  <si>
    <r>
      <t>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Trích ra những học sinh có điểm các môn Toán, Lý, Hóa &gt;= 8.</t>
    </r>
  </si>
  <si>
    <t>KHỐI</t>
  </si>
  <si>
    <t>TỔNG</t>
  </si>
  <si>
    <t>TỔNG SỐ HS</t>
  </si>
  <si>
    <t>TỶ LỆ (%)</t>
  </si>
  <si>
    <r>
      <t>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Times New Roman"/>
        <family val="1"/>
      </rPr>
      <t>Lập bảng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</si>
</sst>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5"/>
    </xf>
    <xf numFmtId="0" fontId="1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4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0" fillId="2" borderId="8" xfId="0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justify" vertical="center" wrapText="1"/>
    </xf>
    <xf numFmtId="14" fontId="1" fillId="4" borderId="8" xfId="0" applyNumberFormat="1" applyFont="1" applyFill="1" applyBorder="1" applyAlignment="1">
      <alignment horizontal="right" vertical="center" wrapText="1"/>
    </xf>
    <xf numFmtId="0" fontId="1" fillId="5" borderId="8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justify" vertical="center" wrapText="1"/>
    </xf>
    <xf numFmtId="0" fontId="1" fillId="7" borderId="8" xfId="0" applyFont="1" applyFill="1" applyBorder="1" applyAlignment="1">
      <alignment horizontal="right" vertical="center" wrapText="1"/>
    </xf>
    <xf numFmtId="0" fontId="1" fillId="7" borderId="8" xfId="0" applyFont="1" applyFill="1" applyBorder="1" applyAlignment="1">
      <alignment vertical="center" wrapText="1"/>
    </xf>
    <xf numFmtId="9" fontId="1" fillId="0" borderId="8" xfId="1" applyFont="1" applyBorder="1" applyAlignment="1">
      <alignment vertical="center" wrapText="1"/>
    </xf>
    <xf numFmtId="9" fontId="1" fillId="0" borderId="8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3603-EC9B-403F-ACE0-C68BA03C75F2}">
  <dimension ref="A1:V36"/>
  <sheetViews>
    <sheetView tabSelected="1" topLeftCell="A25" workbookViewId="0">
      <selection activeCell="E35" sqref="E35"/>
    </sheetView>
  </sheetViews>
  <sheetFormatPr defaultRowHeight="14.4" x14ac:dyDescent="0.3"/>
  <cols>
    <col min="4" max="4" width="16.5546875" customWidth="1"/>
  </cols>
  <sheetData>
    <row r="1" spans="1:22" x14ac:dyDescent="0.3">
      <c r="A1" s="1" t="s">
        <v>0</v>
      </c>
    </row>
    <row r="2" spans="1:22" ht="15" thickBot="1" x14ac:dyDescent="0.35">
      <c r="A2" s="2" t="s">
        <v>1</v>
      </c>
    </row>
    <row r="3" spans="1:22" ht="15" thickBot="1" x14ac:dyDescent="0.35">
      <c r="A3" s="12" t="s">
        <v>2</v>
      </c>
      <c r="B3" s="13" t="s">
        <v>3</v>
      </c>
      <c r="C3" s="14" t="s">
        <v>4</v>
      </c>
      <c r="D3" s="15" t="s">
        <v>5</v>
      </c>
      <c r="E3" s="14" t="s">
        <v>6</v>
      </c>
      <c r="F3" s="16"/>
      <c r="G3" s="17" t="s">
        <v>7</v>
      </c>
      <c r="H3" s="17"/>
      <c r="I3" s="17"/>
      <c r="J3" s="18"/>
      <c r="K3" s="13" t="s">
        <v>8</v>
      </c>
      <c r="L3" s="16"/>
      <c r="M3" s="16"/>
      <c r="N3" s="19" t="s">
        <v>9</v>
      </c>
      <c r="O3" s="19"/>
      <c r="P3" s="16"/>
      <c r="Q3" s="18"/>
      <c r="R3" s="20" t="s">
        <v>10</v>
      </c>
      <c r="S3" s="20" t="s">
        <v>12</v>
      </c>
      <c r="T3" s="16"/>
      <c r="U3" s="21" t="s">
        <v>14</v>
      </c>
      <c r="V3" s="18"/>
    </row>
    <row r="4" spans="1:22" x14ac:dyDescent="0.3">
      <c r="A4" s="22"/>
      <c r="B4" s="23"/>
      <c r="C4" s="24"/>
      <c r="D4" s="25"/>
      <c r="E4" s="24"/>
      <c r="F4" s="12" t="s">
        <v>15</v>
      </c>
      <c r="G4" s="26" t="s">
        <v>16</v>
      </c>
      <c r="H4" s="13" t="s">
        <v>18</v>
      </c>
      <c r="I4" s="12" t="s">
        <v>19</v>
      </c>
      <c r="J4" s="12" t="s">
        <v>20</v>
      </c>
      <c r="K4" s="23"/>
      <c r="L4" s="12" t="s">
        <v>21</v>
      </c>
      <c r="M4" s="12" t="s">
        <v>22</v>
      </c>
      <c r="N4" s="12" t="s">
        <v>23</v>
      </c>
      <c r="O4" s="12" t="s">
        <v>24</v>
      </c>
      <c r="P4" s="12" t="s">
        <v>25</v>
      </c>
      <c r="Q4" s="14" t="s">
        <v>26</v>
      </c>
      <c r="R4" s="27" t="s">
        <v>11</v>
      </c>
      <c r="S4" s="27" t="s">
        <v>13</v>
      </c>
      <c r="T4" s="15" t="s">
        <v>27</v>
      </c>
      <c r="U4" s="15" t="s">
        <v>28</v>
      </c>
      <c r="V4" s="15" t="s">
        <v>29</v>
      </c>
    </row>
    <row r="5" spans="1:22" ht="15" thickBot="1" x14ac:dyDescent="0.35">
      <c r="A5" s="28"/>
      <c r="B5" s="29"/>
      <c r="C5" s="30"/>
      <c r="D5" s="31"/>
      <c r="E5" s="30"/>
      <c r="F5" s="28"/>
      <c r="G5" s="32" t="s">
        <v>17</v>
      </c>
      <c r="H5" s="29"/>
      <c r="I5" s="28"/>
      <c r="J5" s="28"/>
      <c r="K5" s="29"/>
      <c r="L5" s="28"/>
      <c r="M5" s="28"/>
      <c r="N5" s="28"/>
      <c r="O5" s="28"/>
      <c r="P5" s="28"/>
      <c r="Q5" s="30"/>
      <c r="R5" s="33"/>
      <c r="S5" s="33"/>
      <c r="T5" s="31"/>
      <c r="U5" s="31"/>
      <c r="V5" s="31"/>
    </row>
    <row r="6" spans="1:22" ht="15" thickBot="1" x14ac:dyDescent="0.35">
      <c r="A6" s="39" t="s">
        <v>30</v>
      </c>
      <c r="B6" s="34" t="s">
        <v>31</v>
      </c>
      <c r="C6" s="34" t="s">
        <v>32</v>
      </c>
      <c r="D6" s="36">
        <v>36587</v>
      </c>
      <c r="E6" s="37" t="s">
        <v>33</v>
      </c>
      <c r="F6" s="42">
        <f>IF(LEFT(A6,1)="1",2,IF(LEFT(A6,1)="2",1.5,IF(LEFT(A6,1)="3",1,0)))</f>
        <v>2</v>
      </c>
      <c r="G6" s="42">
        <f>IF(MID(A6,2,1)="1",2,IF(MID(A6,2,1)="2",1.5,IF(MID(A6,2,1)="3",1,0)))</f>
        <v>0</v>
      </c>
      <c r="H6" s="42">
        <f>IF(MID(A6,3,1)="1",2,IF(MID(A6,3,1)="2",1.5,IF(MID(A6,3,1)="3",1,0)))</f>
        <v>0</v>
      </c>
      <c r="I6" s="42">
        <f>IF(RIGHT(A6,2)="GI",2,IF(RIGHT(A6,2)="KH",1.5,IF(RIGHT(A6,2)="TB",1,0)))</f>
        <v>1</v>
      </c>
      <c r="J6" s="42">
        <f>IF(SUM(F6:I6)&gt;5,5,SUM(F6:I6))</f>
        <v>3</v>
      </c>
      <c r="K6" s="38">
        <f ca="1">IF(AND(E6="Nữ",DATEDIF(D6,TODAY(),"Y")&lt;15),1,0)</f>
        <v>0</v>
      </c>
      <c r="L6" s="41">
        <v>6</v>
      </c>
      <c r="M6" s="41">
        <v>7</v>
      </c>
      <c r="N6" s="41">
        <v>8</v>
      </c>
      <c r="O6" s="41">
        <v>5</v>
      </c>
      <c r="P6" s="41">
        <v>5</v>
      </c>
      <c r="Q6" s="41">
        <v>5</v>
      </c>
      <c r="R6" s="34">
        <f ca="1">SUM(J6:Q6)</f>
        <v>39</v>
      </c>
      <c r="S6" s="38" t="str">
        <f ca="1">IF(AND(R6&gt;=55,MIN(L6:Q6)&gt;=7),"Giỏi",IF(AND(R6&gt;=45,MIN(L6:Q6)&gt;=5),"Khá",IF(AND(R6&gt;=30,MIN(L6:Q6)&gt;=3),"Trung bình","Không đạt")))</f>
        <v>Trung bình</v>
      </c>
      <c r="T6" s="37" t="str">
        <f ca="1">IF(AND(S6="Giỏi",MIN(L6,N6,O6)&gt;8,P6&gt;5),"X","")</f>
        <v/>
      </c>
      <c r="U6" s="37" t="str">
        <f ca="1">IF(AND(OR(S6="Giỏi",S6="Khá"),O6&gt;8,MIN(L6:N6,P6:Q6)&gt;5),"X","")</f>
        <v/>
      </c>
      <c r="V6" s="37" t="str">
        <f>IF(MIN(M6,Q6)&gt;8,"X","")</f>
        <v/>
      </c>
    </row>
    <row r="7" spans="1:22" ht="27" thickBot="1" x14ac:dyDescent="0.35">
      <c r="A7" s="40" t="s">
        <v>34</v>
      </c>
      <c r="B7" s="34" t="s">
        <v>35</v>
      </c>
      <c r="C7" s="34" t="s">
        <v>36</v>
      </c>
      <c r="D7" s="36">
        <v>37073</v>
      </c>
      <c r="E7" s="37" t="s">
        <v>37</v>
      </c>
      <c r="F7" s="42">
        <f t="shared" ref="F7:F15" si="0">IF(LEFT(A7,1)="1",2,IF(LEFT(A7,1)="2",1.5,IF(LEFT(A7,1)="3",1,0)))</f>
        <v>1.5</v>
      </c>
      <c r="G7" s="42">
        <f t="shared" ref="G7:G15" si="1">IF(MID(A7,2,1)="1",2,IF(MID(A7,2,1)="2",1.5,IF(MID(A7,2,1)="3",1,0)))</f>
        <v>1.5</v>
      </c>
      <c r="H7" s="42">
        <f t="shared" ref="H7:H15" si="2">IF(MID(A7,3,1)="1",2,IF(MID(A7,3,1)="2",1.5,IF(MID(A7,3,1)="3",1,0)))</f>
        <v>0</v>
      </c>
      <c r="I7" s="42">
        <f t="shared" ref="I7:I15" si="3">IF(RIGHT(A7,2)="GI",2,IF(RIGHT(A7,2)="KH",1.5,IF(RIGHT(A7,2)="TB",1,0)))</f>
        <v>1.5</v>
      </c>
      <c r="J7" s="42">
        <f t="shared" ref="J7:J15" si="4">IF(SUM(F7:I7)&gt;5,5,SUM(F7:I7))</f>
        <v>4.5</v>
      </c>
      <c r="K7" s="38">
        <f t="shared" ref="K7:K15" ca="1" si="5">IF(AND(E7="Nữ",DATEDIF(D7,TODAY(),"Y")&lt;15),1,0)</f>
        <v>0</v>
      </c>
      <c r="L7" s="41">
        <v>10</v>
      </c>
      <c r="M7" s="41">
        <v>8</v>
      </c>
      <c r="N7" s="41">
        <v>9</v>
      </c>
      <c r="O7" s="41">
        <v>10</v>
      </c>
      <c r="P7" s="41">
        <v>9</v>
      </c>
      <c r="Q7" s="41">
        <v>9</v>
      </c>
      <c r="R7" s="34">
        <f t="shared" ref="R7:R15" ca="1" si="6">SUM(J7:Q7)</f>
        <v>59.5</v>
      </c>
      <c r="S7" s="38" t="str">
        <f t="shared" ref="S7:S15" ca="1" si="7">IF(AND(R7&gt;=55,MIN(L7:Q7)&gt;=7),"Giỏi",IF(AND(R7&gt;=45,MIN(L7:Q7)&gt;=5),"Khá",IF(AND(R7&gt;=30,MIN(L7:Q7)&gt;=3),"Trung bình","Không đạt")))</f>
        <v>Giỏi</v>
      </c>
      <c r="T7" s="37" t="str">
        <f t="shared" ref="T7:T15" ca="1" si="8">IF(AND(S7="Giỏi",MIN(L7,N7,O7)&gt;8,P7&gt;5),"X","")</f>
        <v>X</v>
      </c>
      <c r="U7" s="37" t="str">
        <f t="shared" ref="U7:U15" ca="1" si="9">IF(AND(OR(S7="Giỏi",S7="Khá"),O7&gt;8,MIN(L7:N7,P7:Q7)&gt;5),"X","")</f>
        <v>X</v>
      </c>
      <c r="V7" s="37" t="str">
        <f t="shared" ref="V7:V15" si="10">IF(MIN(M7,Q7)&gt;8,"X","")</f>
        <v/>
      </c>
    </row>
    <row r="8" spans="1:22" ht="27" thickBot="1" x14ac:dyDescent="0.35">
      <c r="A8" s="39" t="s">
        <v>38</v>
      </c>
      <c r="B8" s="34" t="s">
        <v>39</v>
      </c>
      <c r="C8" s="35" t="s">
        <v>40</v>
      </c>
      <c r="D8" s="36">
        <v>37229</v>
      </c>
      <c r="E8" s="37" t="s">
        <v>33</v>
      </c>
      <c r="F8" s="42">
        <f t="shared" si="0"/>
        <v>1</v>
      </c>
      <c r="G8" s="42">
        <f t="shared" si="1"/>
        <v>0</v>
      </c>
      <c r="H8" s="42">
        <f t="shared" si="2"/>
        <v>2</v>
      </c>
      <c r="I8" s="42">
        <f t="shared" si="3"/>
        <v>2</v>
      </c>
      <c r="J8" s="42">
        <f t="shared" si="4"/>
        <v>5</v>
      </c>
      <c r="K8" s="38">
        <f t="shared" ca="1" si="5"/>
        <v>0</v>
      </c>
      <c r="L8" s="41">
        <v>9</v>
      </c>
      <c r="M8" s="41">
        <v>8</v>
      </c>
      <c r="N8" s="41">
        <v>10</v>
      </c>
      <c r="O8" s="41">
        <v>9</v>
      </c>
      <c r="P8" s="41">
        <v>7</v>
      </c>
      <c r="Q8" s="41">
        <v>4</v>
      </c>
      <c r="R8" s="34">
        <f t="shared" ca="1" si="6"/>
        <v>52</v>
      </c>
      <c r="S8" s="38" t="str">
        <f t="shared" ca="1" si="7"/>
        <v>Trung bình</v>
      </c>
      <c r="T8" s="37" t="str">
        <f t="shared" ca="1" si="8"/>
        <v/>
      </c>
      <c r="U8" s="37" t="str">
        <f t="shared" ca="1" si="9"/>
        <v/>
      </c>
      <c r="V8" s="37" t="str">
        <f t="shared" si="10"/>
        <v/>
      </c>
    </row>
    <row r="9" spans="1:22" ht="27" thickBot="1" x14ac:dyDescent="0.35">
      <c r="A9" s="39" t="s">
        <v>41</v>
      </c>
      <c r="B9" s="34" t="s">
        <v>42</v>
      </c>
      <c r="C9" s="34" t="s">
        <v>43</v>
      </c>
      <c r="D9" s="36">
        <v>36953</v>
      </c>
      <c r="E9" s="37" t="s">
        <v>37</v>
      </c>
      <c r="F9" s="42">
        <f t="shared" si="0"/>
        <v>1.5</v>
      </c>
      <c r="G9" s="42">
        <f t="shared" si="1"/>
        <v>0</v>
      </c>
      <c r="H9" s="42">
        <f t="shared" si="2"/>
        <v>2</v>
      </c>
      <c r="I9" s="42">
        <f t="shared" si="3"/>
        <v>2</v>
      </c>
      <c r="J9" s="42">
        <f t="shared" si="4"/>
        <v>5</v>
      </c>
      <c r="K9" s="38">
        <f t="shared" ca="1" si="5"/>
        <v>0</v>
      </c>
      <c r="L9" s="41">
        <v>7</v>
      </c>
      <c r="M9" s="41">
        <v>6</v>
      </c>
      <c r="N9" s="41">
        <v>8</v>
      </c>
      <c r="O9" s="41">
        <v>5</v>
      </c>
      <c r="P9" s="41">
        <v>4</v>
      </c>
      <c r="Q9" s="41">
        <v>6</v>
      </c>
      <c r="R9" s="34">
        <f t="shared" ca="1" si="6"/>
        <v>41</v>
      </c>
      <c r="S9" s="38" t="str">
        <f t="shared" ca="1" si="7"/>
        <v>Trung bình</v>
      </c>
      <c r="T9" s="37" t="str">
        <f t="shared" ca="1" si="8"/>
        <v/>
      </c>
      <c r="U9" s="37" t="str">
        <f t="shared" ca="1" si="9"/>
        <v/>
      </c>
      <c r="V9" s="37" t="str">
        <f t="shared" si="10"/>
        <v/>
      </c>
    </row>
    <row r="10" spans="1:22" ht="27" thickBot="1" x14ac:dyDescent="0.35">
      <c r="A10" s="40" t="s">
        <v>44</v>
      </c>
      <c r="B10" s="34" t="s">
        <v>45</v>
      </c>
      <c r="C10" s="34" t="s">
        <v>46</v>
      </c>
      <c r="D10" s="36">
        <v>37140</v>
      </c>
      <c r="E10" s="37" t="s">
        <v>33</v>
      </c>
      <c r="F10" s="42">
        <f t="shared" si="0"/>
        <v>0</v>
      </c>
      <c r="G10" s="42">
        <f t="shared" si="1"/>
        <v>0</v>
      </c>
      <c r="H10" s="42">
        <f t="shared" si="2"/>
        <v>1</v>
      </c>
      <c r="I10" s="42">
        <f t="shared" si="3"/>
        <v>1.5</v>
      </c>
      <c r="J10" s="42">
        <f t="shared" si="4"/>
        <v>2.5</v>
      </c>
      <c r="K10" s="38">
        <f t="shared" ca="1" si="5"/>
        <v>0</v>
      </c>
      <c r="L10" s="41">
        <v>9</v>
      </c>
      <c r="M10" s="41">
        <v>9</v>
      </c>
      <c r="N10" s="41">
        <v>8</v>
      </c>
      <c r="O10" s="41">
        <v>8</v>
      </c>
      <c r="P10" s="41">
        <v>6</v>
      </c>
      <c r="Q10" s="41">
        <v>6</v>
      </c>
      <c r="R10" s="34">
        <f t="shared" ca="1" si="6"/>
        <v>48.5</v>
      </c>
      <c r="S10" s="38" t="str">
        <f t="shared" ca="1" si="7"/>
        <v>Khá</v>
      </c>
      <c r="T10" s="37" t="str">
        <f t="shared" ca="1" si="8"/>
        <v/>
      </c>
      <c r="U10" s="37" t="str">
        <f t="shared" ca="1" si="9"/>
        <v/>
      </c>
      <c r="V10" s="37" t="str">
        <f t="shared" si="10"/>
        <v/>
      </c>
    </row>
    <row r="11" spans="1:22" ht="27" thickBot="1" x14ac:dyDescent="0.35">
      <c r="A11" s="39" t="s">
        <v>47</v>
      </c>
      <c r="B11" s="34" t="s">
        <v>48</v>
      </c>
      <c r="C11" s="34" t="s">
        <v>49</v>
      </c>
      <c r="D11" s="36">
        <v>36652</v>
      </c>
      <c r="E11" s="37" t="s">
        <v>33</v>
      </c>
      <c r="F11" s="42">
        <f t="shared" si="0"/>
        <v>0</v>
      </c>
      <c r="G11" s="42">
        <f t="shared" si="1"/>
        <v>0</v>
      </c>
      <c r="H11" s="42">
        <f t="shared" si="2"/>
        <v>0</v>
      </c>
      <c r="I11" s="42">
        <f t="shared" si="3"/>
        <v>1</v>
      </c>
      <c r="J11" s="42">
        <f t="shared" si="4"/>
        <v>1</v>
      </c>
      <c r="K11" s="38">
        <f t="shared" ca="1" si="5"/>
        <v>0</v>
      </c>
      <c r="L11" s="41">
        <v>6</v>
      </c>
      <c r="M11" s="41">
        <v>4</v>
      </c>
      <c r="N11" s="41">
        <v>7</v>
      </c>
      <c r="O11" s="41">
        <v>5</v>
      </c>
      <c r="P11" s="41">
        <v>8</v>
      </c>
      <c r="Q11" s="41">
        <v>8</v>
      </c>
      <c r="R11" s="34">
        <f t="shared" ca="1" si="6"/>
        <v>39</v>
      </c>
      <c r="S11" s="38" t="str">
        <f t="shared" ca="1" si="7"/>
        <v>Trung bình</v>
      </c>
      <c r="T11" s="37" t="str">
        <f t="shared" ca="1" si="8"/>
        <v/>
      </c>
      <c r="U11" s="37" t="str">
        <f t="shared" ca="1" si="9"/>
        <v/>
      </c>
      <c r="V11" s="37" t="str">
        <f t="shared" si="10"/>
        <v/>
      </c>
    </row>
    <row r="12" spans="1:22" ht="27" thickBot="1" x14ac:dyDescent="0.35">
      <c r="A12" s="40" t="s">
        <v>50</v>
      </c>
      <c r="B12" s="34" t="s">
        <v>42</v>
      </c>
      <c r="C12" s="34" t="s">
        <v>51</v>
      </c>
      <c r="D12" s="36">
        <v>36658</v>
      </c>
      <c r="E12" s="37" t="s">
        <v>37</v>
      </c>
      <c r="F12" s="42">
        <f t="shared" si="0"/>
        <v>0</v>
      </c>
      <c r="G12" s="42">
        <f t="shared" si="1"/>
        <v>0</v>
      </c>
      <c r="H12" s="42">
        <f t="shared" si="2"/>
        <v>0</v>
      </c>
      <c r="I12" s="42">
        <f t="shared" si="3"/>
        <v>0</v>
      </c>
      <c r="J12" s="42">
        <f t="shared" si="4"/>
        <v>0</v>
      </c>
      <c r="K12" s="38">
        <f t="shared" ca="1" si="5"/>
        <v>0</v>
      </c>
      <c r="L12" s="41">
        <v>8</v>
      </c>
      <c r="M12" s="41">
        <v>9</v>
      </c>
      <c r="N12" s="41">
        <v>6</v>
      </c>
      <c r="O12" s="41">
        <v>9</v>
      </c>
      <c r="P12" s="41">
        <v>10</v>
      </c>
      <c r="Q12" s="41">
        <v>8</v>
      </c>
      <c r="R12" s="34">
        <f t="shared" ca="1" si="6"/>
        <v>50</v>
      </c>
      <c r="S12" s="38" t="str">
        <f t="shared" ca="1" si="7"/>
        <v>Khá</v>
      </c>
      <c r="T12" s="37" t="str">
        <f t="shared" ca="1" si="8"/>
        <v/>
      </c>
      <c r="U12" s="37" t="str">
        <f t="shared" ca="1" si="9"/>
        <v>X</v>
      </c>
      <c r="V12" s="37" t="str">
        <f t="shared" si="10"/>
        <v/>
      </c>
    </row>
    <row r="13" spans="1:22" ht="27" thickBot="1" x14ac:dyDescent="0.35">
      <c r="A13" s="40" t="s">
        <v>52</v>
      </c>
      <c r="B13" s="34" t="s">
        <v>53</v>
      </c>
      <c r="C13" s="34" t="s">
        <v>32</v>
      </c>
      <c r="D13" s="36">
        <v>37106</v>
      </c>
      <c r="E13" s="37" t="s">
        <v>33</v>
      </c>
      <c r="F13" s="42">
        <f t="shared" si="0"/>
        <v>0</v>
      </c>
      <c r="G13" s="42">
        <f t="shared" si="1"/>
        <v>2</v>
      </c>
      <c r="H13" s="42">
        <f t="shared" si="2"/>
        <v>2</v>
      </c>
      <c r="I13" s="42">
        <f t="shared" si="3"/>
        <v>0</v>
      </c>
      <c r="J13" s="42">
        <f t="shared" si="4"/>
        <v>4</v>
      </c>
      <c r="K13" s="38">
        <f t="shared" ca="1" si="5"/>
        <v>0</v>
      </c>
      <c r="L13" s="41">
        <v>3</v>
      </c>
      <c r="M13" s="41">
        <v>4</v>
      </c>
      <c r="N13" s="41">
        <v>8</v>
      </c>
      <c r="O13" s="41">
        <v>5</v>
      </c>
      <c r="P13" s="41">
        <v>9</v>
      </c>
      <c r="Q13" s="41">
        <v>10</v>
      </c>
      <c r="R13" s="34">
        <f t="shared" ca="1" si="6"/>
        <v>43</v>
      </c>
      <c r="S13" s="38" t="str">
        <f t="shared" ca="1" si="7"/>
        <v>Trung bình</v>
      </c>
      <c r="T13" s="37" t="str">
        <f t="shared" ca="1" si="8"/>
        <v/>
      </c>
      <c r="U13" s="37" t="str">
        <f t="shared" ca="1" si="9"/>
        <v/>
      </c>
      <c r="V13" s="37" t="str">
        <f t="shared" si="10"/>
        <v/>
      </c>
    </row>
    <row r="14" spans="1:22" ht="27" thickBot="1" x14ac:dyDescent="0.35">
      <c r="A14" s="40" t="s">
        <v>54</v>
      </c>
      <c r="B14" s="34" t="s">
        <v>55</v>
      </c>
      <c r="C14" s="34" t="s">
        <v>56</v>
      </c>
      <c r="D14" s="36">
        <v>36821</v>
      </c>
      <c r="E14" s="37" t="s">
        <v>37</v>
      </c>
      <c r="F14" s="42">
        <f t="shared" si="0"/>
        <v>2</v>
      </c>
      <c r="G14" s="42">
        <f t="shared" si="1"/>
        <v>1.5</v>
      </c>
      <c r="H14" s="42">
        <f t="shared" si="2"/>
        <v>1</v>
      </c>
      <c r="I14" s="42">
        <f t="shared" si="3"/>
        <v>1.5</v>
      </c>
      <c r="J14" s="42">
        <f t="shared" si="4"/>
        <v>5</v>
      </c>
      <c r="K14" s="38">
        <f t="shared" ca="1" si="5"/>
        <v>0</v>
      </c>
      <c r="L14" s="41">
        <v>5</v>
      </c>
      <c r="M14" s="41">
        <v>4</v>
      </c>
      <c r="N14" s="41">
        <v>7</v>
      </c>
      <c r="O14" s="41">
        <v>9</v>
      </c>
      <c r="P14" s="41">
        <v>8</v>
      </c>
      <c r="Q14" s="41">
        <v>10</v>
      </c>
      <c r="R14" s="34">
        <f t="shared" ca="1" si="6"/>
        <v>48</v>
      </c>
      <c r="S14" s="38" t="str">
        <f t="shared" ca="1" si="7"/>
        <v>Trung bình</v>
      </c>
      <c r="T14" s="37" t="str">
        <f t="shared" ca="1" si="8"/>
        <v/>
      </c>
      <c r="U14" s="37" t="str">
        <f t="shared" ca="1" si="9"/>
        <v/>
      </c>
      <c r="V14" s="37" t="str">
        <f t="shared" si="10"/>
        <v/>
      </c>
    </row>
    <row r="15" spans="1:22" ht="15" thickBot="1" x14ac:dyDescent="0.35">
      <c r="A15" s="39" t="s">
        <v>57</v>
      </c>
      <c r="B15" s="34" t="s">
        <v>58</v>
      </c>
      <c r="C15" s="34" t="s">
        <v>49</v>
      </c>
      <c r="D15" s="36">
        <v>36841</v>
      </c>
      <c r="E15" s="37" t="s">
        <v>33</v>
      </c>
      <c r="F15" s="42">
        <f t="shared" si="0"/>
        <v>0</v>
      </c>
      <c r="G15" s="42">
        <f t="shared" si="1"/>
        <v>1</v>
      </c>
      <c r="H15" s="42">
        <f t="shared" si="2"/>
        <v>0</v>
      </c>
      <c r="I15" s="42">
        <f t="shared" si="3"/>
        <v>1</v>
      </c>
      <c r="J15" s="42">
        <f t="shared" si="4"/>
        <v>2</v>
      </c>
      <c r="K15" s="38">
        <f t="shared" ca="1" si="5"/>
        <v>0</v>
      </c>
      <c r="L15" s="41">
        <v>10</v>
      </c>
      <c r="M15" s="41">
        <v>7</v>
      </c>
      <c r="N15" s="41">
        <v>8</v>
      </c>
      <c r="O15" s="41">
        <v>8</v>
      </c>
      <c r="P15" s="41">
        <v>10</v>
      </c>
      <c r="Q15" s="41">
        <v>7</v>
      </c>
      <c r="R15" s="34">
        <f t="shared" ca="1" si="6"/>
        <v>52</v>
      </c>
      <c r="S15" s="38" t="str">
        <f t="shared" ca="1" si="7"/>
        <v>Khá</v>
      </c>
      <c r="T15" s="37" t="str">
        <f t="shared" ca="1" si="8"/>
        <v/>
      </c>
      <c r="U15" s="37" t="str">
        <f t="shared" ca="1" si="9"/>
        <v/>
      </c>
      <c r="V15" s="37" t="str">
        <f t="shared" si="10"/>
        <v/>
      </c>
    </row>
    <row r="16" spans="1:22" x14ac:dyDescent="0.3">
      <c r="A16" s="6" t="s">
        <v>59</v>
      </c>
    </row>
    <row r="17" spans="1:1" x14ac:dyDescent="0.3">
      <c r="A17" s="7" t="s">
        <v>60</v>
      </c>
    </row>
    <row r="18" spans="1:1" x14ac:dyDescent="0.3">
      <c r="A18" s="8" t="s">
        <v>61</v>
      </c>
    </row>
    <row r="19" spans="1:1" x14ac:dyDescent="0.3">
      <c r="A19" s="8" t="s">
        <v>62</v>
      </c>
    </row>
    <row r="20" spans="1:1" x14ac:dyDescent="0.3">
      <c r="A20" s="8" t="s">
        <v>63</v>
      </c>
    </row>
    <row r="21" spans="1:1" x14ac:dyDescent="0.3">
      <c r="A21" s="8" t="s">
        <v>64</v>
      </c>
    </row>
    <row r="22" spans="1:1" x14ac:dyDescent="0.3">
      <c r="A22" s="8" t="s">
        <v>65</v>
      </c>
    </row>
    <row r="23" spans="1:1" x14ac:dyDescent="0.3">
      <c r="A23" s="7" t="s">
        <v>66</v>
      </c>
    </row>
    <row r="24" spans="1:1" x14ac:dyDescent="0.3">
      <c r="A24" s="7" t="s">
        <v>67</v>
      </c>
    </row>
    <row r="25" spans="1:1" x14ac:dyDescent="0.3">
      <c r="A25" s="7" t="s">
        <v>68</v>
      </c>
    </row>
    <row r="26" spans="1:1" x14ac:dyDescent="0.3">
      <c r="A26" s="8" t="s">
        <v>69</v>
      </c>
    </row>
    <row r="27" spans="1:1" x14ac:dyDescent="0.3">
      <c r="A27" s="8" t="s">
        <v>70</v>
      </c>
    </row>
    <row r="28" spans="1:1" x14ac:dyDescent="0.3">
      <c r="A28" s="8" t="s">
        <v>71</v>
      </c>
    </row>
    <row r="29" spans="1:1" x14ac:dyDescent="0.3">
      <c r="A29" s="7" t="s">
        <v>72</v>
      </c>
    </row>
    <row r="30" spans="1:1" x14ac:dyDescent="0.3">
      <c r="A30" s="8" t="s">
        <v>73</v>
      </c>
    </row>
    <row r="31" spans="1:1" x14ac:dyDescent="0.3">
      <c r="A31" s="7" t="s">
        <v>74</v>
      </c>
    </row>
    <row r="32" spans="1:1" ht="15" thickBot="1" x14ac:dyDescent="0.35">
      <c r="A32" s="7" t="s">
        <v>75</v>
      </c>
    </row>
    <row r="33" spans="1:5" ht="15" thickBot="1" x14ac:dyDescent="0.35">
      <c r="A33" s="9" t="s">
        <v>76</v>
      </c>
      <c r="B33" s="10" t="s">
        <v>27</v>
      </c>
      <c r="C33" s="11" t="s">
        <v>28</v>
      </c>
      <c r="D33" s="11" t="s">
        <v>29</v>
      </c>
      <c r="E33" s="10" t="s">
        <v>77</v>
      </c>
    </row>
    <row r="34" spans="1:5" ht="27" thickBot="1" x14ac:dyDescent="0.35">
      <c r="A34" s="5" t="s">
        <v>78</v>
      </c>
      <c r="B34" s="3">
        <f ca="1">COUNTIF(T6:T15,"X")</f>
        <v>1</v>
      </c>
      <c r="C34" s="3">
        <f t="shared" ref="C34:D34" ca="1" si="11">COUNTIF(U6:U15,"X")</f>
        <v>2</v>
      </c>
      <c r="D34" s="3">
        <f t="shared" si="11"/>
        <v>0</v>
      </c>
      <c r="E34" s="3">
        <f ca="1">SUM(B34:D34)</f>
        <v>3</v>
      </c>
    </row>
    <row r="35" spans="1:5" ht="27" thickBot="1" x14ac:dyDescent="0.35">
      <c r="A35" s="4" t="s">
        <v>79</v>
      </c>
      <c r="B35" s="43">
        <f ca="1">B34/COUNTA($A$6:$A$15)</f>
        <v>0.1</v>
      </c>
      <c r="C35" s="43">
        <f t="shared" ref="C35:D35" ca="1" si="12">C34/COUNTA($A$6:$A$15)</f>
        <v>0.2</v>
      </c>
      <c r="D35" s="43">
        <f t="shared" si="12"/>
        <v>0</v>
      </c>
      <c r="E35" s="44"/>
    </row>
    <row r="36" spans="1:5" x14ac:dyDescent="0.3">
      <c r="A36" s="7" t="s">
        <v>80</v>
      </c>
    </row>
  </sheetData>
  <mergeCells count="21">
    <mergeCell ref="A3:A5"/>
    <mergeCell ref="B3:B5"/>
    <mergeCell ref="C3:C5"/>
    <mergeCell ref="D3:D5"/>
    <mergeCell ref="E3:E5"/>
    <mergeCell ref="K3:K5"/>
    <mergeCell ref="N3:O3"/>
    <mergeCell ref="F4:F5"/>
    <mergeCell ref="H4:H5"/>
    <mergeCell ref="I4:I5"/>
    <mergeCell ref="J4:J5"/>
    <mergeCell ref="L4:L5"/>
    <mergeCell ref="M4:M5"/>
    <mergeCell ref="N4:N5"/>
    <mergeCell ref="O4:O5"/>
    <mergeCell ref="G3:I3"/>
    <mergeCell ref="P4:P5"/>
    <mergeCell ref="Q4:Q5"/>
    <mergeCell ref="T4:T5"/>
    <mergeCell ref="U4:U5"/>
    <mergeCell ref="V4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Minh</dc:creator>
  <cp:lastModifiedBy>Ngoc Minh</cp:lastModifiedBy>
  <dcterms:created xsi:type="dcterms:W3CDTF">2025-11-03T16:45:10Z</dcterms:created>
  <dcterms:modified xsi:type="dcterms:W3CDTF">2025-11-03T17:26:43Z</dcterms:modified>
</cp:coreProperties>
</file>